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98146481-393C-4144-89E3-89FE5ACB9A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<sst xmlns="http://schemas.openxmlformats.org/spreadsheetml/2006/main" count="703" uniqueCount="275">
  <si>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</si>
  <si>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</si>
  <si>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</si>
  <si>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</si>
  <si>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</si>
  <si>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</si>
  <si>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</si>
  <si>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</si>
  <si>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</si>
  <si>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</si>
  <si>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</si>
  <si>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</si>
  <si>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</si>
  <si>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</si>
  <si>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</si>
  <si>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</si>
  <si>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</si>
  <si>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</si>
  <si>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</si>
  <si>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</si>
  <si>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</si>
  <si>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</si>
  <si>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</si>
  <si>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</si>
  <si>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</si>
  <si>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</si>
  <si>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</si>
  <si>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</si>
  <si>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</si>
  <si>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</si>
  <si>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</si>
  <si>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</si>
  <si>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</si>
  <si>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</si>
  <si>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</si>
  <si>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</si>
  <si>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</si>
  <si>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</si>
  <si>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</si>
  <si>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</si>
  <si>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</si>
  <si>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</si>
  <si>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</si>
  <si>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</si>
  <si>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</si>
  <si>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</si>
  <si>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</si>
  <si>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</si>
  <si>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</si>
  <si>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</si>
  <si>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</si>
  <si>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</si>
  <si>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</si>
  <si>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</si>
  <si>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</si>
  <si>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</si>
  <si>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</si>
  <si>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</si>
  <si>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</si>
  <si>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</si>
  <si>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</si>
  <si>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</si>
  <si>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</si>
  <si>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</si>
  <si>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</si>
  <si>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</si>
  <si>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</si>
  <si>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</si>
  <si>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</si>
  <si>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</si>
  <si>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68 P. 1</t>
  </si>
  <si>
    <t>OCUPACIÓN ORDINARIA DE VÍA</t>
  </si>
  <si>
    <t xml:space="preserve">CORTADA ELÉCTRICA PARA TRABAJOS DE SANEAMIENTO DE VÍA KM 57 Y ATERRIZAMIENTO FAENA SOBRE TECHUMBRE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</si>
  <si>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</si>
  <si>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CORONEL</t>
  </si>
  <si>
    <t>37 P. 14</t>
  </si>
  <si>
    <t>28 P. 7</t>
  </si>
  <si>
    <t xml:space="preserve"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 / AUTORIZADO CC QU, CC CW, NO PATIO DE CC POR PRUEBAS DE TRENES </t>
  </si>
  <si>
    <t>ICIL ICAFAL (MARCO OSSES)</t>
  </si>
  <si>
    <t>LA LEONERA</t>
  </si>
  <si>
    <t>CHIGUAYANTE</t>
  </si>
  <si>
    <t>VÍA 1</t>
  </si>
  <si>
    <t>58 P. 1</t>
  </si>
  <si>
    <t>59 P. 1</t>
  </si>
  <si>
    <t>SANAMIENTO DE VIA , APORTE DE BALASTO Y NIVELCION MANUAL. / DIEGO MENDOZA (P-5.1) / 932440690</t>
  </si>
  <si>
    <t>CTA  (MARCELA CANSINO)</t>
  </si>
  <si>
    <t>VÍA 4 / VÍA 1 TÚNEL</t>
  </si>
  <si>
    <t>69 P. 19</t>
  </si>
  <si>
    <t>1 P. 1CD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</si>
  <si>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</si>
  <si>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BIOBÍO</t>
  </si>
  <si>
    <t>70 P. 4</t>
  </si>
  <si>
    <t>4 P. 1</t>
  </si>
  <si>
    <t>INSTALACION DE FIBRA FOA Y FOS TRAMO LT CONCEPCION-LT BIO BIO ( TUNEL Y PUENTE). / SE SOLICITA DESCONEXION 3KV DESDE  PV CC AMBAS VIAS 1,2 HASTA CORONEL + 2,3KV DESDE  S/E CONCEPCION A CORONEL + 1200 VOLTS DESDE CCP A PUENTE BIO BIO  (P5.1 JUAN BRAVO 973006165) / RODRIGO GOMEZ (P-6) / 998634583 / SOLO SE AUTORIZA CC A CW, NO INCLUIDO EL PATIOCC PRUEBA DE TRENES</t>
  </si>
  <si>
    <t>MARSUR CHILE (NATHALIE AGUILERA)</t>
  </si>
  <si>
    <t>70 P. 22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</si>
  <si>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
MANTENIMIENTO, CORRECIÓN Y LUBRICACIÓN EQUIPOS TENSORES (CONTRAPESOS Y RESORTE) / SE SOLICITA DESCONEXIÓN DE 3KV DESDE PV CONCEPCION HASTA EST. CORONEL AMBAS VÍAS 1 Y 2. ADEMÁS 2,3KV S/E CONCEPCION A LOMAS COLORADAS, MÁS 2,3KV DESDE S/E ESCUADRÓN A CORONEL. / ERASMO LEIVA (P-5.1), JESUS NAVEA (P-5.1)/ (P-6) / 998847489, 936503046</t>
  </si>
  <si>
    <t>CTA SPA (RAMON QUERALES)</t>
  </si>
  <si>
    <t>27 P. 1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</si>
  <si>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</si>
  <si>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945016983, 961488935, 982384024</t>
  </si>
  <si>
    <t>3 P. 1</t>
  </si>
  <si>
    <t>RESTITUCIÓN SISTEMA LUBRICADOR EN VÍA 2 / JUAN MERINO (P-5.1) / 996792675 / VENTANA DE TRABAJO BAJO COORDINACIÓN CON CONTROLADOR DE TRÁFICO.</t>
  </si>
  <si>
    <t>JUMESA TRAIN SERVICES (DIEGO TRONCOSO)</t>
  </si>
  <si>
    <t>BOCA SUR</t>
  </si>
  <si>
    <t>6 P. 1</t>
  </si>
  <si>
    <t>ACTIVIDADES DE PROYECTO AUMENTO DE CAPACIDAD DEL BIOTREN:NORMALIZACIÓN DE OBSERVACIONES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/ RODOLFO GONZÁLEZ (P-5.1) / 982703584</t>
  </si>
  <si>
    <t>LOMAS COLORADAS</t>
  </si>
  <si>
    <t>11 P. 1</t>
  </si>
  <si>
    <t>ACTIVIDADES DE PROYECTO AUMENTO DE CAPACIDAD DEL BIOTREN: ATENCIÓN DE PUNCH LIST, INSTALACIÓN DE SENSORES Y GATEWAY, CONEXIONES DE ALIMENTACIÓN ALIMENTADOR DE REFUERZO A CATENARIA, CONEXIONADO A PORTALES. / DIEGO BELTRÁN (P-5.1) / 977668866</t>
  </si>
  <si>
    <t>VÍA 2</t>
  </si>
  <si>
    <t>7 P. 1</t>
  </si>
  <si>
    <t>8 P. 1</t>
  </si>
  <si>
    <t>SOLDADURA ALUMINOTERMICA / ERICK CONTRERAS (P-5.1) / 997746919 / VENTANA DE TRABAJO BAJO COORDINACIÓN CON CONTROLADOR DE TRÁFICO.</t>
  </si>
  <si>
    <t>LAGUNILLAS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</si>
  <si>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</si>
  <si>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</si>
  <si>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</si>
  <si>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ESCUADRÓN</t>
  </si>
  <si>
    <t>27 P. 41</t>
  </si>
  <si>
    <t>ACTIVIDADES DE PROYECTO AUMENTO DE CAPACIDAD DEL BIOTREN: TENDIDO DE HC, PENDOLADO, ATENCIÓN DE PUNCH LIST, INSTALACIÓN DE SENSORES Y GATEWAY, CONEXIONES DE ALIMENTACIÓN ALIMENTADOR DE REFUERZO A CATENARIA. /  VÍCTOR MARTÍNEZ (P-5.1) / 982703584</t>
  </si>
  <si>
    <t>25 P. 19</t>
  </si>
  <si>
    <t>25 P. 21</t>
  </si>
  <si>
    <t>MANTENCION DE CRUCE A NIVEL / ERWIN ROA  (P-5.1) / 946785082 /  VENTANA DE TRABAJO BAJO COORDINACIÓN CON CONTROLADOR DE TRÁFICO.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</si>
  <si>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</si>
  <si>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</si>
  <si>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938941810, 964569235</t>
  </si>
  <si>
    <t>SIEMENS (ESTEBAN CHAMBE)</t>
  </si>
  <si>
    <t>ESCUADRON</t>
  </si>
  <si>
    <t>TRASLADO Y MONTAJE DE PREARMADO DE ENFIERRADURA DE PEDESTAL DE PORTICO NORTE SECTOR TR1 CON APOYO DE EQUIPO DE IZAJE.
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938941810, 964569235</t>
  </si>
  <si>
    <t>MANTENIMIENTO ARMARIOS RECTIFICADORES, SECCIONADORES 189 M/1 Y 189M/2, 189S/1 Y 189S/2, INSTRUMENTOS DE MEDICIÓN DE CORRIENTES Y VOLTAJES DE ENTRADA AL RECTIFICADOR.
MANTENIMIENTO INTERRUPTORES AUTOMÁTICOS DE GRUPO, 72/1, 72/2, SECCIONADORES 89M/1-2; 89S/1-2 MÁS INSTRUMENTOS DE MEDICIÓN DE CORRIENTES Y VOLTAJES DE SALIDA DEL RECTIFICADOR.
MANTENIMIENTOS INTERRUPTORES AUTOMÁTICOS DE ALIMENTADORES DE CC, 172 MÁS SECCIONADORES 189 Y LAS CELDAS QUE LOS ALOJAN.
MANTENIMIENTO CELDAS AUXILIARES DE ALIMENTADORES 172, INCLUIDOS LOS EQUIPOS ASOCIADOS A SUS PRUEBAS DE AISLACIÓN, TALES COMO: TELERRUPTOR, RESISTENCIA DE PRUEBA, CUCHILLOS A, B, C, TD DE VOLTAJE, TD DE CORRIENTE, PARARRAYOS, ETC.
MANTENIMIENTO CÁMARAS Y TRINCHERAS / SE SOLICITA DESCONEXIÓN DE LA BARRA DE 3KV, TOTALMENTE LIBRE Y ABIERTA DESDE SECCIONADORES TIPO CUERNO 189AL/1 AL 189/4 HASTA LOS SECCIONADORES 89/1 Y 89/2. ESTA CORTADA NO AFECTA LA SEÑALIZACIÓN. / LUIS VALDERRAMA (P-6), FRANCISCO ROMAN (P-6), LECTER BARRAZA (P-6), NELSON CARTES (P-5.1)/ (P-6) / 990770277, 978975751, 932114266, 952059514</t>
  </si>
  <si>
    <t>SIEMENS (JESÚS TRUYOL)</t>
  </si>
  <si>
    <t>MANTENIMIENTO ARMARIOS RECTIFICADORES, SECCIONADORES 189 M/1 Y 189M/2, 189S/1 Y 189S/2, INSTRUMENTOS DE MEDICIÓN DE CORRIENTES Y VOLTAJES DE ENTRADA AL RECTIFICADOR.
MANTENIMIENTO INTERRUPTORES AUTOMÁTICOS DE GRUPO, 72/1, 72/2, SECCIONADORES 89M/1-2; 89S/1-2 MÁS INSTRUMENTOS DE MEDICIÓN DE CORRIENTES Y VOLTAJES DE SALIDA DEL RECTIFICADOR.
MANTENIMIENTOS INTERRUPTORES AUTOMÁTICOS DE ALIMENTADORES DE CC, 172 MÁS SECCIONADORES 189 Y LAS CELDAS QUE LOS ALOJAN.
MANTENIMIENTO CELDAS AUXILIARES DE ALIMENTADORES 172, INCLUIDOS LOS EQUIPOS ASOCIADOS A SUS PRUEBAS DE AISLACIÓN, TALES COMO: TELERRUPTOR, RESISTENCIA DE PRUEBA, CUCHILLOS A, B, C, TD DE VOLTAJE, TD DE CORRIENTE, PARARRAYOS, ETC. / SE SOLICITA DESCONEXIÓN DE LA BARRA DE 3KV, TOTALMENTE LIBRE Y ABIERTA DESDE SECCIONADORES TIPO CUERNO 189AL/1 AL 189/2 HASTA EL SECCIONADOR 89/1. ESTA CORTADA NO AFECTA LA SEÑALIZACIÓN. / LUIS VALDERRAMA (P-6), FRANCISCO ROMAN (P-6), LECTER BARRAZA (P-6), NELSON CARTES (P-5.1)/ (P-6) / 990770277, 978975751, 932114266, 952059514</t>
  </si>
  <si>
    <t>HUALQUI</t>
  </si>
  <si>
    <t>TODAS</t>
  </si>
  <si>
    <t>30 km/h Y TOQUE PITO</t>
  </si>
  <si>
    <t>MANTENIMIENTO DE LUBRICACIÓN Y VERIFICACIÓN DE AGUJAS Y DESRIELADORES (A1,A3,CL3)EST.HUALQUI / MANUEL RIQUELME (P-5.1) / 936856982</t>
  </si>
  <si>
    <t>GLOBE ICF SA (RICARDO YAÑEZ)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</si>
  <si>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</si>
  <si>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</si>
  <si>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</si>
  <si>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</si>
  <si>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</si>
  <si>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</si>
  <si>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47 P. 10</t>
  </si>
  <si>
    <t>47 P. 11</t>
  </si>
  <si>
    <t>10 km/h PARA TRENES DE CARGA Y PASAJEROS</t>
  </si>
  <si>
    <t>RIEL ALA IZQUIERDO Y DERECHO DE CRUZAMIENTO QUEBRADO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</si>
  <si>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</si>
  <si>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</si>
  <si>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</si>
  <si>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</si>
  <si>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</si>
  <si>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55 P. 50</t>
  </si>
  <si>
    <t>MANTENIMIENTO DE LUBRICACIÓN Y VERIFICACIÓN DE AGUJAS Y DESRIELADORES (A1,A3,A4,A2)EST.LEONERA / MARCELINO RUIZ (P-5.1) / 956660091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</si>
  <si>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</si>
  <si>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</si>
  <si>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</si>
  <si>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</si>
  <si>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</si>
  <si>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</si>
  <si>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</si>
  <si>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</si>
  <si>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</si>
  <si>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</si>
  <si>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</si>
  <si>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</si>
  <si>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56 P. 10</t>
  </si>
  <si>
    <t>INSPECCION Y MANTENIMIENTO PAN TIPO RADIO GLOBE PROYECTO PAN 1 (PAN PORVENIR) / MARCELO VALLEJOS (P-5.1) / 996189131</t>
  </si>
  <si>
    <t>CTA (MARCELA CANSINO)</t>
  </si>
  <si>
    <t>60 P. 1</t>
  </si>
  <si>
    <t>60 P. 5</t>
  </si>
  <si>
    <t>MANTENIMIENTO ESTACION CHIGUAYANTE  / ALEX CIFUENTES  (P-5.1) / 981510913</t>
  </si>
  <si>
    <t>ARC (VLADIMIR MARCHANT)</t>
  </si>
  <si>
    <t>69 P. 4</t>
  </si>
  <si>
    <t>69 P. 6</t>
  </si>
  <si>
    <t>10 km/h</t>
  </si>
  <si>
    <t>CRUZAMIENTO CON FRACTURA</t>
  </si>
  <si>
    <t>EFE (ROBERTO EGLI)</t>
  </si>
  <si>
    <t>69 P. 8</t>
  </si>
  <si>
    <t>69 P. 11</t>
  </si>
  <si>
    <t>69 P. 15</t>
  </si>
  <si>
    <t>69 P. 20</t>
  </si>
  <si>
    <t>TRABAJOS FUERA DE VÍA CEPA 13. AUTORIZADOS SOLO TRABAJOS FUERA DE 2,20 M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</si>
  <si>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</si>
  <si>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</si>
  <si>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</si>
  <si>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</si>
  <si>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</si>
  <si>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</si>
  <si>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</si>
  <si>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</si>
  <si>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</si>
  <si>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</si>
  <si>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</si>
  <si>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</si>
  <si>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</si>
  <si>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</si>
  <si>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</si>
  <si>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</si>
  <si>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</si>
  <si>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</si>
  <si>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</si>
  <si>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</si>
  <si>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</si>
  <si>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</si>
  <si>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</si>
  <si>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</si>
  <si>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</si>
  <si>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</si>
  <si>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</si>
  <si>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</si>
  <si>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</si>
  <si>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</si>
  <si>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</si>
  <si>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</si>
  <si>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</si>
  <si>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</si>
  <si>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</si>
  <si>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</si>
  <si>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</si>
  <si>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</si>
  <si>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</si>
  <si>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</si>
  <si>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</si>
  <si>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</si>
  <si>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</si>
  <si>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</si>
  <si>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</si>
  <si>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</si>
  <si>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</si>
  <si>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</si>
  <si>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</si>
  <si>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AMBAS VÍAS</t>
  </si>
  <si>
    <t>1 P. 33</t>
  </si>
  <si>
    <t>INSTALACION DE FIBRA FOA Y FOS TRAMO LT CONCEPCION-LT BIO BIO ( TUNEL Y PUENTE). / ALVARO CABEZAS  (P-5.1) / 954370412</t>
  </si>
  <si>
    <t>TOQUE PITO</t>
  </si>
  <si>
    <t>REPARACIÓN ILUMINACIÓN ORNAMENTAL Y BOLARDOS NUEVO PUENTE FERROVIARIO BIOBIO. AUTORIZADOS SOLO TRABAJOS FUERA DE 2,20 M.  / OSCAR NOVA / 968169175</t>
  </si>
  <si>
    <t>SACYR CHILE (DIEGO TRONCOSO)</t>
  </si>
  <si>
    <t>3 P. 33</t>
  </si>
  <si>
    <t>5 P. 10</t>
  </si>
  <si>
    <t>MANTENIMIENTO DE EQUIPOS Y SEÑALES EN LA VIA (E'4,E'2,E4,E2,R2,R4,S1/2,S1/1) EST.BIOBIO / NICOLAS VILLALOBOS (P-5.1) / 966930227</t>
  </si>
  <si>
    <t>7 P. 10</t>
  </si>
  <si>
    <t>MANTENIMIENTO DE EQUIPOS Y SEÑALES EN LA VIA (E'1,E1,E'3,E3,S2/1,S2/2,S1/1,S1/2) EST.BOCA SUR / CARLOS LARA (P-5.1) / 995452749</t>
  </si>
  <si>
    <t>6 P. 10</t>
  </si>
  <si>
    <t>MANTENIMIENTO GENERAL DE PAN BARRERA AUTOMATICA ICF ( PAN DIAGONAL BIO BIO) / MAURICIO ARANEDA (P-5.1) / 948950250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</si>
  <si>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</si>
  <si>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</si>
  <si>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</si>
  <si>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9 P. 10</t>
  </si>
  <si>
    <t>CAMINATA PEDESTRE - APERTURA DE CÁMARAS / JAIME PINO (P-5.1) / 956517218</t>
  </si>
  <si>
    <t>11 P. 10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</si>
  <si>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</si>
  <si>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</si>
  <si>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</si>
  <si>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</si>
  <si>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</si>
  <si>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</si>
  <si>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</si>
  <si>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</si>
  <si>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</si>
  <si>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</si>
  <si>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</si>
  <si>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</si>
  <si>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</si>
  <si>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</si>
  <si>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27</t>
  </si>
  <si>
    <t>19 P. 29</t>
  </si>
  <si>
    <t>SANAMIENTO DE VIA , APORTE DE BALASTO Y NIVELCION MANUAL . / ERWIN ROA  (P-5.1) / 946785082</t>
  </si>
  <si>
    <t>20 P. 1</t>
  </si>
  <si>
    <t>PREPARACION SOLDADURA  / ERICK CONTRERAS (P-5.1) / 997746919</t>
  </si>
  <si>
    <t>23 P. 31</t>
  </si>
  <si>
    <t>23 P. 33</t>
  </si>
  <si>
    <t>(PAN LOS MOLINEROS) ALTA AFLUENCIA DE PUBLICO POR ACTIVIDADES (COLEGIO AMANECER) + FUNDACIÓN METODISTA DE CORONEL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</si>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</sst>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0" fontId="36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31" fillId="11" borderId="0" xfId="3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15" fillId="7" borderId="30" xfId="1" applyFont="1" applyFill="1" applyBorder="1" applyAlignment="1">
      <alignment horizontal="center" vertical="center" wrapText="1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" fontId="42" fillId="9" borderId="2" xfId="1" applyNumberFormat="1" applyFont="1" applyFill="1" applyBorder="1" applyAlignment="1">
      <alignment horizontal="center" vertical="center"/>
    </xf>
    <xf numFmtId="164" fontId="42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8800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122</xdr:row>
      <xdr:rowOff>38099</xdr:rowOff>
    </xdr:from>
    <xdr:to>
      <xdr:col>12</xdr:col>
      <xdr:colOff>1181100</xdr:colOff>
      <xdr:row>122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122</xdr:row>
      <xdr:rowOff>38101</xdr:rowOff>
    </xdr:from>
    <xdr:to>
      <xdr:col>6</xdr:col>
      <xdr:colOff>552450</xdr:colOff>
      <xdr:row>122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122</xdr:row>
      <xdr:rowOff>551726</xdr:rowOff>
    </xdr:from>
    <xdr:to>
      <xdr:col>11</xdr:col>
      <xdr:colOff>260349</xdr:colOff>
      <xdr:row>122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1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28" t="s">
        <v>65</v>
      </c>
      <c r="F1" s="128"/>
      <c r="G1" s="128"/>
      <c r="H1" s="128"/>
      <c r="I1" s="25"/>
      <c r="J1" s="132">
        <v>46266</v>
      </c>
      <c r="K1" s="132"/>
      <c r="L1" s="132"/>
      <c r="M1" s="133"/>
    </row>
    <row r="2" spans="1:13" ht="13.5" customHeight="1" thickTop="1" x14ac:dyDescent="0.25">
      <c r="A2" s="124"/>
      <c r="B2" s="125"/>
      <c r="C2" s="14"/>
      <c r="D2" s="12"/>
      <c r="E2" s="36"/>
      <c r="F2" s="37"/>
      <c r="G2" s="13"/>
      <c r="H2" s="72"/>
      <c r="I2" s="126"/>
      <c r="J2" s="126"/>
      <c r="K2" s="126"/>
      <c r="L2" s="126"/>
      <c r="M2" s="127"/>
    </row>
    <row r="3" spans="1:13" ht="18" customHeight="1" x14ac:dyDescent="0.25">
      <c r="A3" s="146"/>
      <c r="B3" s="147"/>
      <c r="C3" s="73"/>
      <c r="D3" s="74"/>
      <c r="E3" s="129" t="s">
        <v>22</v>
      </c>
      <c r="F3" s="129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48"/>
      <c r="B4" s="149"/>
      <c r="C4" s="76"/>
      <c r="D4" s="77"/>
      <c r="E4" s="160">
        <f ca="1">TODAY()</f>
        <v>46265</v>
      </c>
      <c r="F4" s="160"/>
      <c r="G4" s="182">
        <v>244</v>
      </c>
      <c r="H4" s="183" t="s">
        <v>274</v>
      </c>
      <c r="I4" s="78"/>
      <c r="J4" s="78"/>
      <c r="K4" s="78"/>
      <c r="L4" s="78"/>
      <c r="M4" s="27"/>
    </row>
    <row r="5" spans="1:13" ht="7.5" customHeight="1" x14ac:dyDescent="0.25">
      <c r="A5" s="150"/>
      <c r="B5" s="151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17" t="s">
        <v>12</v>
      </c>
      <c r="D6" s="117"/>
      <c r="E6" s="82"/>
      <c r="F6" s="117" t="s">
        <v>13</v>
      </c>
      <c r="G6" s="117"/>
      <c r="H6" s="83" t="s">
        <v>35</v>
      </c>
      <c r="I6" s="117" t="s">
        <v>32</v>
      </c>
      <c r="J6" s="117"/>
      <c r="K6" s="117"/>
      <c r="L6" s="117"/>
      <c r="M6" s="52"/>
    </row>
    <row r="7" spans="1:13" s="51" customFormat="1" ht="12.75" customHeight="1" x14ac:dyDescent="0.25">
      <c r="A7" s="50"/>
      <c r="B7" s="84"/>
      <c r="C7" s="120" t="s">
        <v>14</v>
      </c>
      <c r="D7" s="120"/>
      <c r="E7" s="84"/>
      <c r="F7" s="120" t="s">
        <v>34</v>
      </c>
      <c r="G7" s="120"/>
      <c r="H7" s="85" t="s">
        <v>41</v>
      </c>
      <c r="I7" s="118" t="s">
        <v>42</v>
      </c>
      <c r="J7" s="118"/>
      <c r="K7" s="118"/>
      <c r="L7" s="118"/>
      <c r="M7" s="53"/>
    </row>
    <row r="8" spans="1:13" s="51" customFormat="1" ht="12.75" customHeight="1" x14ac:dyDescent="0.25">
      <c r="A8" s="50"/>
      <c r="B8" s="86"/>
      <c r="C8" s="118" t="s">
        <v>43</v>
      </c>
      <c r="D8" s="118"/>
      <c r="E8" s="86"/>
      <c r="F8" s="118" t="s">
        <v>44</v>
      </c>
      <c r="G8" s="118"/>
      <c r="H8" s="87" t="s">
        <v>36</v>
      </c>
      <c r="I8" s="119" t="s">
        <v>33</v>
      </c>
      <c r="J8" s="119"/>
      <c r="K8" s="119"/>
      <c r="L8" s="119"/>
      <c r="M8" s="53"/>
    </row>
    <row r="9" spans="1:13" ht="21" customHeight="1" x14ac:dyDescent="0.25">
      <c r="A9" s="71"/>
      <c r="B9" s="88"/>
      <c r="C9" s="117" t="s">
        <v>29</v>
      </c>
      <c r="D9" s="117"/>
      <c r="E9" s="88"/>
      <c r="F9" s="117" t="s">
        <v>37</v>
      </c>
      <c r="G9" s="117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20" t="s">
        <v>30</v>
      </c>
      <c r="D10" s="120"/>
      <c r="E10" s="90"/>
      <c r="F10" s="120" t="s">
        <v>38</v>
      </c>
      <c r="G10" s="120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18" t="s">
        <v>45</v>
      </c>
      <c r="D11" s="118"/>
      <c r="E11" s="90"/>
      <c r="F11" s="118" t="s">
        <v>46</v>
      </c>
      <c r="G11" s="118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19" t="s">
        <v>31</v>
      </c>
      <c r="D12" s="119"/>
      <c r="E12" s="90"/>
      <c r="F12" s="119" t="s">
        <v>40</v>
      </c>
      <c r="G12" s="134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21" t="s">
        <v>49</v>
      </c>
      <c r="E14" s="121"/>
      <c r="F14" s="121"/>
      <c r="G14" s="121"/>
      <c r="H14" s="121"/>
      <c r="I14" s="121"/>
      <c r="J14" s="121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37" t="s">
        <v>57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9"/>
    </row>
    <row r="23" spans="1:13" ht="30" customHeight="1" thickTop="1" thickBot="1" x14ac:dyDescent="0.3">
      <c r="A23" s="140" t="s">
        <v>58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2"/>
    </row>
    <row r="24" spans="1:13" ht="67.5" customHeight="1" thickBot="1" x14ac:dyDescent="0.3">
      <c r="A24" s="143" t="s">
        <v>64</v>
      </c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21" t="s">
        <v>26</v>
      </c>
      <c r="E26" s="121"/>
      <c r="F26" s="121"/>
      <c r="G26" s="121"/>
      <c r="H26" s="121"/>
      <c r="I26" s="121"/>
      <c r="J26" s="121"/>
      <c r="K26" s="121"/>
      <c r="L26" s="46"/>
      <c r="M26" s="47"/>
    </row>
    <row r="27" spans="1:13" ht="18" customHeight="1" x14ac:dyDescent="0.25">
      <c r="A27" s="156" t="s">
        <v>5</v>
      </c>
      <c r="B27" s="135" t="s">
        <v>0</v>
      </c>
      <c r="C27" s="136"/>
      <c r="D27" s="158" t="s">
        <v>10</v>
      </c>
      <c r="E27" s="167" t="s">
        <v>6</v>
      </c>
      <c r="F27" s="168"/>
      <c r="G27" s="158" t="s">
        <v>18</v>
      </c>
      <c r="H27" s="158" t="s">
        <v>7</v>
      </c>
      <c r="I27" s="169" t="s">
        <v>3</v>
      </c>
      <c r="J27" s="170"/>
      <c r="K27" s="171" t="s">
        <v>4</v>
      </c>
      <c r="L27" s="170"/>
      <c r="M27" s="130" t="s">
        <v>15</v>
      </c>
    </row>
    <row r="28" spans="1:13" ht="18" customHeight="1" x14ac:dyDescent="0.25">
      <c r="A28" s="157"/>
      <c r="B28" s="4" t="s">
        <v>1</v>
      </c>
      <c r="C28" s="4" t="s">
        <v>2</v>
      </c>
      <c r="D28" s="159"/>
      <c r="E28" s="39" t="s">
        <v>1</v>
      </c>
      <c r="F28" s="39" t="s">
        <v>2</v>
      </c>
      <c r="G28" s="159"/>
      <c r="H28" s="159"/>
      <c r="I28" s="10" t="s">
        <v>8</v>
      </c>
      <c r="J28" s="11" t="s">
        <v>17</v>
      </c>
      <c r="K28" s="11" t="s">
        <v>8</v>
      </c>
      <c r="L28" s="11" t="s">
        <v>17</v>
      </c>
      <c r="M28" s="131"/>
    </row>
    <row r="29" spans="1:13" ht="45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133</v>
      </c>
      <c r="D29" s="6" t="s">
        <v>134</v>
      </c>
      <c r="E29" s="40">
        <v>46</v>
      </c>
      <c r="F29" s="40">
        <v>47</v>
      </c>
      <c r="G29" s="6" t="s">
        <v>135</v>
      </c>
      <c r="H29" s="6" t="s">
        <v>136</v>
      </c>
      <c r="I29" s="8">
        <v>0.83333333333333337</v>
      </c>
      <c r="J29" s="8">
        <v>0.99930555555555556</v>
      </c>
      <c r="K29" s="9">
        <v>46266</v>
      </c>
      <c r="L29" s="9">
        <v>46266</v>
      </c>
      <c r="M29" s="30" t="s">
        <v>137</v>
      </c>
    </row>
    <row r="30" spans="1:13" ht="30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133</v>
      </c>
      <c r="C30" s="6" t="s">
        <v>133</v>
      </c>
      <c r="D30" s="6" t="s">
        <v>138</v>
      </c>
      <c r="E30" s="40" t="s">
        <v>139</v>
      </c>
      <c r="F30" s="40" t="s">
        <v>140</v>
      </c>
      <c r="G30" s="6" t="s">
        <v>141</v>
      </c>
      <c r="H30" s="6" t="s">
        <v>142</v>
      </c>
      <c r="I30" s="8">
        <v>0</v>
      </c>
      <c r="J30" s="8">
        <v>0.99930555555555556</v>
      </c>
      <c r="K30" s="9">
        <v>46027</v>
      </c>
      <c r="L30" s="9" t="s">
        <v>125</v>
      </c>
      <c r="M30" s="30" t="s">
        <v>143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133</v>
      </c>
      <c r="C31" s="6" t="s">
        <v>133</v>
      </c>
      <c r="D31" s="6" t="s">
        <v>134</v>
      </c>
      <c r="E31" s="40" t="s">
        <v>144</v>
      </c>
      <c r="F31" s="40" t="s">
        <v>145</v>
      </c>
      <c r="G31" s="6" t="s">
        <v>146</v>
      </c>
      <c r="H31" s="6" t="s">
        <v>147</v>
      </c>
      <c r="I31" s="8">
        <v>0</v>
      </c>
      <c r="J31" s="8">
        <v>0.99930555555555556</v>
      </c>
      <c r="K31" s="9">
        <v>46233</v>
      </c>
      <c r="L31" s="9" t="s">
        <v>125</v>
      </c>
      <c r="M31" s="30" t="s">
        <v>148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133</v>
      </c>
      <c r="C32" s="6" t="s">
        <v>79</v>
      </c>
      <c r="D32" s="6" t="s">
        <v>138</v>
      </c>
      <c r="E32" s="40" t="s">
        <v>149</v>
      </c>
      <c r="F32" s="40" t="s">
        <v>150</v>
      </c>
      <c r="G32" s="6" t="s">
        <v>151</v>
      </c>
      <c r="H32" s="6" t="s">
        <v>152</v>
      </c>
      <c r="I32" s="8">
        <v>0</v>
      </c>
      <c r="J32" s="8">
        <v>0.99930555555555556</v>
      </c>
      <c r="K32" s="9">
        <v>42534</v>
      </c>
      <c r="L32" s="9" t="s">
        <v>125</v>
      </c>
      <c r="M32" s="30" t="s">
        <v>143</v>
      </c>
    </row>
    <row r="33" spans="1:13" ht="45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133</v>
      </c>
      <c r="C33" s="6" t="s">
        <v>79</v>
      </c>
      <c r="D33" s="6" t="s">
        <v>134</v>
      </c>
      <c r="E33" s="40">
        <v>54</v>
      </c>
      <c r="F33" s="40" t="s">
        <v>153</v>
      </c>
      <c r="G33" s="6" t="s">
        <v>135</v>
      </c>
      <c r="H33" s="6" t="s">
        <v>154</v>
      </c>
      <c r="I33" s="8">
        <v>0.83333333333333337</v>
      </c>
      <c r="J33" s="8">
        <v>0.99930555555555556</v>
      </c>
      <c r="K33" s="9">
        <v>46266</v>
      </c>
      <c r="L33" s="9">
        <v>46266</v>
      </c>
      <c r="M33" s="30" t="s">
        <v>137</v>
      </c>
    </row>
    <row r="34" spans="1:13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79</v>
      </c>
      <c r="C34" s="6" t="s">
        <v>79</v>
      </c>
      <c r="D34" s="6" t="s">
        <v>134</v>
      </c>
      <c r="E34" s="40" t="s">
        <v>155</v>
      </c>
      <c r="F34" s="40" t="s">
        <v>156</v>
      </c>
      <c r="G34" s="6" t="s">
        <v>157</v>
      </c>
      <c r="H34" s="6" t="s">
        <v>158</v>
      </c>
      <c r="I34" s="8">
        <v>0</v>
      </c>
      <c r="J34" s="8">
        <v>0.99930555555555556</v>
      </c>
      <c r="K34" s="9">
        <v>44021</v>
      </c>
      <c r="L34" s="9" t="s">
        <v>125</v>
      </c>
      <c r="M34" s="30" t="s">
        <v>159</v>
      </c>
    </row>
    <row r="35" spans="1:13" ht="45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79</v>
      </c>
      <c r="C35" s="6" t="s">
        <v>79</v>
      </c>
      <c r="D35" s="6" t="s">
        <v>160</v>
      </c>
      <c r="E35" s="40" t="s">
        <v>156</v>
      </c>
      <c r="F35" s="40" t="s">
        <v>161</v>
      </c>
      <c r="G35" s="6" t="s">
        <v>162</v>
      </c>
      <c r="H35" s="6" t="s">
        <v>163</v>
      </c>
      <c r="I35" s="8">
        <v>0</v>
      </c>
      <c r="J35" s="8">
        <v>0.99930555555555556</v>
      </c>
      <c r="K35" s="9">
        <v>43941</v>
      </c>
      <c r="L35" s="9" t="s">
        <v>125</v>
      </c>
      <c r="M35" s="30" t="s">
        <v>164</v>
      </c>
    </row>
    <row r="36" spans="1:13" ht="6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79</v>
      </c>
      <c r="C36" s="6" t="s">
        <v>79</v>
      </c>
      <c r="D36" s="6" t="s">
        <v>160</v>
      </c>
      <c r="E36" s="40" t="s">
        <v>156</v>
      </c>
      <c r="F36" s="40" t="s">
        <v>161</v>
      </c>
      <c r="G36" s="6" t="s">
        <v>165</v>
      </c>
      <c r="H36" s="6" t="s">
        <v>166</v>
      </c>
      <c r="I36" s="8">
        <v>0</v>
      </c>
      <c r="J36" s="8">
        <v>0.99930555555555556</v>
      </c>
      <c r="K36" s="9">
        <v>43941</v>
      </c>
      <c r="L36" s="9" t="s">
        <v>125</v>
      </c>
      <c r="M36" s="30" t="s">
        <v>164</v>
      </c>
    </row>
    <row r="37" spans="1:13" ht="45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79</v>
      </c>
      <c r="C37" s="6" t="s">
        <v>80</v>
      </c>
      <c r="D37" s="6" t="s">
        <v>134</v>
      </c>
      <c r="E37" s="40">
        <v>56</v>
      </c>
      <c r="F37" s="40" t="s">
        <v>167</v>
      </c>
      <c r="G37" s="6" t="s">
        <v>135</v>
      </c>
      <c r="H37" s="6" t="s">
        <v>168</v>
      </c>
      <c r="I37" s="8">
        <v>0.41666666666666669</v>
      </c>
      <c r="J37" s="8">
        <v>0.54166666666666663</v>
      </c>
      <c r="K37" s="9">
        <v>46266</v>
      </c>
      <c r="L37" s="9">
        <v>46266</v>
      </c>
      <c r="M37" s="30" t="s">
        <v>137</v>
      </c>
    </row>
    <row r="38" spans="1:13" ht="45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79</v>
      </c>
      <c r="C38" s="6" t="s">
        <v>80</v>
      </c>
      <c r="D38" s="6" t="s">
        <v>134</v>
      </c>
      <c r="E38" s="40">
        <v>56</v>
      </c>
      <c r="F38" s="40" t="s">
        <v>167</v>
      </c>
      <c r="G38" s="6" t="s">
        <v>135</v>
      </c>
      <c r="H38" s="6" t="s">
        <v>168</v>
      </c>
      <c r="I38" s="8">
        <v>0.58333333333333337</v>
      </c>
      <c r="J38" s="8">
        <v>0.70833333333333337</v>
      </c>
      <c r="K38" s="9">
        <v>46266</v>
      </c>
      <c r="L38" s="9">
        <v>46266</v>
      </c>
      <c r="M38" s="30" t="s">
        <v>137</v>
      </c>
    </row>
    <row r="39" spans="1:13" ht="3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79</v>
      </c>
      <c r="C39" s="6" t="s">
        <v>80</v>
      </c>
      <c r="D39" s="6" t="s">
        <v>81</v>
      </c>
      <c r="E39" s="40" t="s">
        <v>82</v>
      </c>
      <c r="F39" s="40" t="s">
        <v>83</v>
      </c>
      <c r="G39" s="6" t="s">
        <v>135</v>
      </c>
      <c r="H39" s="6" t="s">
        <v>84</v>
      </c>
      <c r="I39" s="8">
        <v>0.95833333333333337</v>
      </c>
      <c r="J39" s="8">
        <v>0.99930555555555556</v>
      </c>
      <c r="K39" s="9">
        <v>46266</v>
      </c>
      <c r="L39" s="9">
        <v>46266</v>
      </c>
      <c r="M39" s="30" t="s">
        <v>169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80</v>
      </c>
      <c r="C40" s="6" t="s">
        <v>80</v>
      </c>
      <c r="D40" s="6" t="s">
        <v>134</v>
      </c>
      <c r="E40" s="40" t="s">
        <v>170</v>
      </c>
      <c r="F40" s="40" t="s">
        <v>171</v>
      </c>
      <c r="G40" s="6" t="s">
        <v>135</v>
      </c>
      <c r="H40" s="6" t="s">
        <v>172</v>
      </c>
      <c r="I40" s="8">
        <v>0</v>
      </c>
      <c r="J40" s="8">
        <v>0.20833333333333334</v>
      </c>
      <c r="K40" s="9">
        <v>46266</v>
      </c>
      <c r="L40" s="9">
        <v>46266</v>
      </c>
      <c r="M40" s="30" t="s">
        <v>173</v>
      </c>
    </row>
    <row r="41" spans="1:13" ht="3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80</v>
      </c>
      <c r="C41" s="6" t="s">
        <v>80</v>
      </c>
      <c r="D41" s="6" t="s">
        <v>134</v>
      </c>
      <c r="E41" s="40" t="s">
        <v>170</v>
      </c>
      <c r="F41" s="40" t="s">
        <v>171</v>
      </c>
      <c r="G41" s="6" t="s">
        <v>135</v>
      </c>
      <c r="H41" s="6" t="s">
        <v>172</v>
      </c>
      <c r="I41" s="8">
        <v>0.95833333333333337</v>
      </c>
      <c r="J41" s="8">
        <v>0.99930555555555556</v>
      </c>
      <c r="K41" s="9">
        <v>46266</v>
      </c>
      <c r="L41" s="9">
        <v>46266</v>
      </c>
      <c r="M41" s="30" t="s">
        <v>173</v>
      </c>
    </row>
    <row r="42" spans="1:13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67</v>
      </c>
      <c r="D42" s="6" t="s">
        <v>81</v>
      </c>
      <c r="E42" s="40" t="s">
        <v>174</v>
      </c>
      <c r="F42" s="40" t="s">
        <v>175</v>
      </c>
      <c r="G42" s="6" t="s">
        <v>176</v>
      </c>
      <c r="H42" s="6" t="s">
        <v>177</v>
      </c>
      <c r="I42" s="8">
        <v>0</v>
      </c>
      <c r="J42" s="8">
        <v>0.99930555555555556</v>
      </c>
      <c r="K42" s="9">
        <v>46227</v>
      </c>
      <c r="L42" s="9" t="s">
        <v>125</v>
      </c>
      <c r="M42" s="30" t="s">
        <v>178</v>
      </c>
    </row>
    <row r="43" spans="1:13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67</v>
      </c>
      <c r="D43" s="6" t="s">
        <v>110</v>
      </c>
      <c r="E43" s="40" t="s">
        <v>179</v>
      </c>
      <c r="F43" s="40" t="s">
        <v>180</v>
      </c>
      <c r="G43" s="6" t="s">
        <v>176</v>
      </c>
      <c r="H43" s="6" t="s">
        <v>177</v>
      </c>
      <c r="I43" s="8">
        <v>0</v>
      </c>
      <c r="J43" s="8">
        <v>0.99930555555555556</v>
      </c>
      <c r="K43" s="9">
        <v>46227</v>
      </c>
      <c r="L43" s="9" t="s">
        <v>125</v>
      </c>
      <c r="M43" s="30" t="s">
        <v>178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134</v>
      </c>
      <c r="E44" s="40" t="s">
        <v>181</v>
      </c>
      <c r="F44" s="40" t="s">
        <v>182</v>
      </c>
      <c r="G44" s="6" t="s">
        <v>236</v>
      </c>
      <c r="H44" s="6" t="s">
        <v>183</v>
      </c>
      <c r="I44" s="8">
        <v>0.33333333333333331</v>
      </c>
      <c r="J44" s="8">
        <v>0.39583333333333331</v>
      </c>
      <c r="K44" s="9">
        <v>46266</v>
      </c>
      <c r="L44" s="9">
        <v>46266</v>
      </c>
      <c r="M44" s="30" t="s">
        <v>184</v>
      </c>
    </row>
    <row r="45" spans="1:13" ht="30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134</v>
      </c>
      <c r="E45" s="40" t="s">
        <v>181</v>
      </c>
      <c r="F45" s="40" t="s">
        <v>182</v>
      </c>
      <c r="G45" s="6" t="s">
        <v>135</v>
      </c>
      <c r="H45" s="6" t="s">
        <v>185</v>
      </c>
      <c r="I45" s="8">
        <v>0.41666666666666669</v>
      </c>
      <c r="J45" s="8">
        <v>0.72916666666666663</v>
      </c>
      <c r="K45" s="9">
        <v>46266</v>
      </c>
      <c r="L45" s="9">
        <v>46266</v>
      </c>
      <c r="M45" s="30" t="s">
        <v>184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134</v>
      </c>
      <c r="E46" s="40" t="s">
        <v>181</v>
      </c>
      <c r="F46" s="40" t="s">
        <v>182</v>
      </c>
      <c r="G46" s="6" t="s">
        <v>236</v>
      </c>
      <c r="H46" s="6" t="s">
        <v>183</v>
      </c>
      <c r="I46" s="8">
        <v>0.72916666666666663</v>
      </c>
      <c r="J46" s="8">
        <v>0.83333333333333337</v>
      </c>
      <c r="K46" s="9">
        <v>46266</v>
      </c>
      <c r="L46" s="9">
        <v>46266</v>
      </c>
      <c r="M46" s="30" t="s">
        <v>184</v>
      </c>
    </row>
    <row r="47" spans="1:13" ht="6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186</v>
      </c>
      <c r="E47" s="40" t="s">
        <v>187</v>
      </c>
      <c r="F47" s="40" t="s">
        <v>91</v>
      </c>
      <c r="G47" s="6" t="s">
        <v>176</v>
      </c>
      <c r="H47" s="6" t="s">
        <v>188</v>
      </c>
      <c r="I47" s="8">
        <v>0</v>
      </c>
      <c r="J47" s="8">
        <v>0.99930555555555556</v>
      </c>
      <c r="K47" s="9">
        <v>45632</v>
      </c>
      <c r="L47" s="9" t="s">
        <v>125</v>
      </c>
      <c r="M47" s="30" t="s">
        <v>159</v>
      </c>
    </row>
    <row r="48" spans="1:13" ht="45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81</v>
      </c>
      <c r="E48" s="40" t="s">
        <v>189</v>
      </c>
      <c r="F48" s="40" t="s">
        <v>190</v>
      </c>
      <c r="G48" s="6" t="s">
        <v>176</v>
      </c>
      <c r="H48" s="6" t="s">
        <v>191</v>
      </c>
      <c r="I48" s="8">
        <v>0</v>
      </c>
      <c r="J48" s="8">
        <v>0.99930555555555556</v>
      </c>
      <c r="K48" s="9">
        <v>45905</v>
      </c>
      <c r="L48" s="9" t="s">
        <v>125</v>
      </c>
      <c r="M48" s="30" t="s">
        <v>159</v>
      </c>
    </row>
    <row r="49" spans="1:13" ht="6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192</v>
      </c>
      <c r="E49" s="40" t="s">
        <v>190</v>
      </c>
      <c r="F49" s="40" t="s">
        <v>193</v>
      </c>
      <c r="G49" s="6" t="s">
        <v>194</v>
      </c>
      <c r="H49" s="6" t="s">
        <v>195</v>
      </c>
      <c r="I49" s="8">
        <v>0</v>
      </c>
      <c r="J49" s="8">
        <v>0.99930555555555556</v>
      </c>
      <c r="K49" s="9">
        <v>46030</v>
      </c>
      <c r="L49" s="9" t="s">
        <v>125</v>
      </c>
      <c r="M49" s="30" t="s">
        <v>196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197</v>
      </c>
      <c r="E50" s="40" t="s">
        <v>198</v>
      </c>
      <c r="F50" s="40">
        <v>129.1</v>
      </c>
      <c r="G50" s="6" t="s">
        <v>199</v>
      </c>
      <c r="H50" s="6" t="s">
        <v>125</v>
      </c>
      <c r="I50" s="8">
        <v>0</v>
      </c>
      <c r="J50" s="8">
        <v>0.99930555555555556</v>
      </c>
      <c r="K50" s="9">
        <v>43068</v>
      </c>
      <c r="L50" s="9" t="s">
        <v>125</v>
      </c>
      <c r="M50" s="30" t="s">
        <v>200</v>
      </c>
    </row>
    <row r="51" spans="1:13" ht="3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201</v>
      </c>
      <c r="E51" s="40" t="s">
        <v>202</v>
      </c>
      <c r="F51" s="40" t="s">
        <v>203</v>
      </c>
      <c r="G51" s="6" t="s">
        <v>141</v>
      </c>
      <c r="H51" s="6" t="s">
        <v>125</v>
      </c>
      <c r="I51" s="8">
        <v>0</v>
      </c>
      <c r="J51" s="8">
        <v>0.99930555555555556</v>
      </c>
      <c r="K51" s="9">
        <v>42990</v>
      </c>
      <c r="L51" s="9" t="s">
        <v>125</v>
      </c>
      <c r="M51" s="30" t="s">
        <v>200</v>
      </c>
    </row>
    <row r="52" spans="1:13" ht="3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204</v>
      </c>
      <c r="E52" s="40" t="s">
        <v>202</v>
      </c>
      <c r="F52" s="40">
        <v>129.1</v>
      </c>
      <c r="G52" s="6" t="s">
        <v>141</v>
      </c>
      <c r="H52" s="6" t="s">
        <v>205</v>
      </c>
      <c r="I52" s="8">
        <v>0</v>
      </c>
      <c r="J52" s="8">
        <v>0.99930555555555556</v>
      </c>
      <c r="K52" s="9">
        <v>43767</v>
      </c>
      <c r="L52" s="9" t="s">
        <v>125</v>
      </c>
      <c r="M52" s="30" t="s">
        <v>200</v>
      </c>
    </row>
    <row r="53" spans="1:13" ht="6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67</v>
      </c>
      <c r="D53" s="6" t="s">
        <v>201</v>
      </c>
      <c r="E53" s="40" t="s">
        <v>202</v>
      </c>
      <c r="F53" s="40" t="s">
        <v>206</v>
      </c>
      <c r="G53" s="6" t="s">
        <v>135</v>
      </c>
      <c r="H53" s="6" t="s">
        <v>207</v>
      </c>
      <c r="I53" s="8">
        <v>0</v>
      </c>
      <c r="J53" s="8">
        <v>0.20833333333333334</v>
      </c>
      <c r="K53" s="9">
        <v>46266</v>
      </c>
      <c r="L53" s="9">
        <v>46266</v>
      </c>
      <c r="M53" s="30" t="s">
        <v>78</v>
      </c>
    </row>
    <row r="54" spans="1:13" ht="30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208</v>
      </c>
      <c r="C54" s="6" t="s">
        <v>208</v>
      </c>
      <c r="D54" s="6" t="s">
        <v>209</v>
      </c>
      <c r="E54" s="40" t="s">
        <v>210</v>
      </c>
      <c r="F54" s="40" t="s">
        <v>211</v>
      </c>
      <c r="G54" s="6" t="s">
        <v>212</v>
      </c>
      <c r="H54" s="6" t="s">
        <v>213</v>
      </c>
      <c r="I54" s="8">
        <v>0</v>
      </c>
      <c r="J54" s="8">
        <v>0.99930555555555556</v>
      </c>
      <c r="K54" s="9">
        <v>46258</v>
      </c>
      <c r="L54" s="9" t="s">
        <v>125</v>
      </c>
      <c r="M54" s="30" t="s">
        <v>196</v>
      </c>
    </row>
    <row r="55" spans="1:13" ht="6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208</v>
      </c>
      <c r="C55" s="6" t="s">
        <v>208</v>
      </c>
      <c r="D55" s="6" t="s">
        <v>214</v>
      </c>
      <c r="E55" s="40" t="s">
        <v>215</v>
      </c>
      <c r="F55" s="40" t="s">
        <v>216</v>
      </c>
      <c r="G55" s="6" t="s">
        <v>176</v>
      </c>
      <c r="H55" s="6" t="s">
        <v>217</v>
      </c>
      <c r="I55" s="8">
        <v>0</v>
      </c>
      <c r="J55" s="8">
        <v>0.99930555555555556</v>
      </c>
      <c r="K55" s="9">
        <v>45469</v>
      </c>
      <c r="L55" s="9" t="s">
        <v>125</v>
      </c>
      <c r="M55" s="30" t="s">
        <v>218</v>
      </c>
    </row>
    <row r="56" spans="1:13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208</v>
      </c>
      <c r="C56" s="6" t="s">
        <v>219</v>
      </c>
      <c r="D56" s="6" t="s">
        <v>220</v>
      </c>
      <c r="E56" s="40" t="s">
        <v>221</v>
      </c>
      <c r="F56" s="40" t="s">
        <v>222</v>
      </c>
      <c r="G56" s="6" t="s">
        <v>176</v>
      </c>
      <c r="H56" s="6" t="s">
        <v>223</v>
      </c>
      <c r="I56" s="8">
        <v>0</v>
      </c>
      <c r="J56" s="8">
        <v>0.99930555555555556</v>
      </c>
      <c r="K56" s="9">
        <v>46255</v>
      </c>
      <c r="L56" s="9" t="s">
        <v>125</v>
      </c>
      <c r="M56" s="30" t="s">
        <v>224</v>
      </c>
    </row>
    <row r="57" spans="1:13" ht="3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225</v>
      </c>
      <c r="C57" s="6" t="s">
        <v>225</v>
      </c>
      <c r="D57" s="6" t="s">
        <v>220</v>
      </c>
      <c r="E57" s="40">
        <v>3</v>
      </c>
      <c r="F57" s="40">
        <v>3.3</v>
      </c>
      <c r="G57" s="6" t="s">
        <v>176</v>
      </c>
      <c r="H57" s="6" t="s">
        <v>226</v>
      </c>
      <c r="I57" s="8">
        <v>0</v>
      </c>
      <c r="J57" s="8">
        <v>0.99930555555555556</v>
      </c>
      <c r="K57" s="9">
        <v>45386</v>
      </c>
      <c r="L57" s="9" t="s">
        <v>125</v>
      </c>
      <c r="M57" s="30" t="s">
        <v>218</v>
      </c>
    </row>
    <row r="58" spans="1:13" ht="30.75" thickBot="1" x14ac:dyDescent="0.3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225</v>
      </c>
      <c r="C58" s="6" t="s">
        <v>225</v>
      </c>
      <c r="D58" s="6" t="s">
        <v>227</v>
      </c>
      <c r="E58" s="40">
        <v>4</v>
      </c>
      <c r="F58" s="40">
        <v>4.07</v>
      </c>
      <c r="G58" s="6" t="s">
        <v>228</v>
      </c>
      <c r="H58" s="6" t="s">
        <v>229</v>
      </c>
      <c r="I58" s="8">
        <v>0</v>
      </c>
      <c r="J58" s="8">
        <v>0.99930555555555556</v>
      </c>
      <c r="K58" s="9">
        <v>45588</v>
      </c>
      <c r="L58" s="9" t="s">
        <v>125</v>
      </c>
      <c r="M58" s="30" t="s">
        <v>218</v>
      </c>
    </row>
    <row r="59" spans="1:13" ht="22.5" customHeight="1" thickBot="1" x14ac:dyDescent="0.3">
      <c r="A59" s="45"/>
      <c r="B59" s="46"/>
      <c r="C59" s="46"/>
      <c r="D59" s="121" t="s">
        <v>27</v>
      </c>
      <c r="E59" s="121"/>
      <c r="F59" s="121"/>
      <c r="G59" s="121"/>
      <c r="H59" s="121"/>
      <c r="I59" s="121"/>
      <c r="J59" s="121"/>
      <c r="K59" s="121"/>
      <c r="L59" s="46"/>
      <c r="M59" s="47"/>
    </row>
    <row r="60" spans="1:13" ht="90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60" s="7" t="s">
        <v>67</v>
      </c>
      <c r="C60" s="6" t="s">
        <v>67</v>
      </c>
      <c r="D60" s="6" t="s">
        <v>230</v>
      </c>
      <c r="E60" s="40" t="s">
        <v>87</v>
      </c>
      <c r="F60" s="40" t="s">
        <v>231</v>
      </c>
      <c r="G60" s="6" t="s">
        <v>135</v>
      </c>
      <c r="H60" s="6" t="s">
        <v>232</v>
      </c>
      <c r="I60" s="8">
        <v>0.45833333333333331</v>
      </c>
      <c r="J60" s="8">
        <v>0.70833333333333337</v>
      </c>
      <c r="K60" s="9">
        <v>46266</v>
      </c>
      <c r="L60" s="9">
        <v>46266</v>
      </c>
      <c r="M60" s="30" t="s">
        <v>78</v>
      </c>
    </row>
    <row r="61" spans="1:13" ht="45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1" s="7" t="s">
        <v>67</v>
      </c>
      <c r="C61" s="6" t="s">
        <v>90</v>
      </c>
      <c r="D61" s="6" t="s">
        <v>233</v>
      </c>
      <c r="E61" s="40" t="s">
        <v>91</v>
      </c>
      <c r="F61" s="40" t="s">
        <v>234</v>
      </c>
      <c r="G61" s="6" t="s">
        <v>135</v>
      </c>
      <c r="H61" s="6" t="s">
        <v>235</v>
      </c>
      <c r="I61" s="8">
        <v>0</v>
      </c>
      <c r="J61" s="8">
        <v>0.20833333333333334</v>
      </c>
      <c r="K61" s="9">
        <v>46266</v>
      </c>
      <c r="L61" s="9">
        <v>46266</v>
      </c>
      <c r="M61" s="30" t="s">
        <v>94</v>
      </c>
    </row>
    <row r="62" spans="1:13" ht="45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67</v>
      </c>
      <c r="C62" s="6" t="s">
        <v>90</v>
      </c>
      <c r="D62" s="6" t="s">
        <v>134</v>
      </c>
      <c r="E62" s="40">
        <v>1</v>
      </c>
      <c r="F62" s="40" t="s">
        <v>101</v>
      </c>
      <c r="G62" s="6" t="s">
        <v>236</v>
      </c>
      <c r="H62" s="6" t="s">
        <v>237</v>
      </c>
      <c r="I62" s="8">
        <v>0.33333333333333331</v>
      </c>
      <c r="J62" s="8">
        <v>0.83333333333333337</v>
      </c>
      <c r="K62" s="9">
        <v>46266</v>
      </c>
      <c r="L62" s="9">
        <v>46266</v>
      </c>
      <c r="M62" s="30" t="s">
        <v>238</v>
      </c>
    </row>
    <row r="63" spans="1:13" ht="45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67</v>
      </c>
      <c r="C63" s="6" t="s">
        <v>90</v>
      </c>
      <c r="D63" s="6" t="s">
        <v>233</v>
      </c>
      <c r="E63" s="40" t="s">
        <v>234</v>
      </c>
      <c r="F63" s="40" t="s">
        <v>239</v>
      </c>
      <c r="G63" s="6" t="s">
        <v>135</v>
      </c>
      <c r="H63" s="6" t="s">
        <v>235</v>
      </c>
      <c r="I63" s="8">
        <v>0</v>
      </c>
      <c r="J63" s="8">
        <v>0.20833333333333334</v>
      </c>
      <c r="K63" s="9">
        <v>46266</v>
      </c>
      <c r="L63" s="9">
        <v>46266</v>
      </c>
      <c r="M63" s="30" t="s">
        <v>94</v>
      </c>
    </row>
    <row r="64" spans="1:13" ht="45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90</v>
      </c>
      <c r="C64" s="6" t="s">
        <v>104</v>
      </c>
      <c r="D64" s="6" t="s">
        <v>134</v>
      </c>
      <c r="E64" s="40">
        <v>4</v>
      </c>
      <c r="F64" s="40" t="s">
        <v>240</v>
      </c>
      <c r="G64" s="6" t="s">
        <v>135</v>
      </c>
      <c r="H64" s="6" t="s">
        <v>241</v>
      </c>
      <c r="I64" s="8">
        <v>0.45833333333333331</v>
      </c>
      <c r="J64" s="8">
        <v>0.70833333333333337</v>
      </c>
      <c r="K64" s="9">
        <v>46266</v>
      </c>
      <c r="L64" s="9">
        <v>46266</v>
      </c>
      <c r="M64" s="30" t="s">
        <v>137</v>
      </c>
    </row>
    <row r="65" spans="1:13" ht="45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90</v>
      </c>
      <c r="C65" s="6" t="s">
        <v>104</v>
      </c>
      <c r="D65" s="6" t="s">
        <v>134</v>
      </c>
      <c r="E65" s="40">
        <v>6</v>
      </c>
      <c r="F65" s="40" t="s">
        <v>242</v>
      </c>
      <c r="G65" s="6" t="s">
        <v>135</v>
      </c>
      <c r="H65" s="6" t="s">
        <v>243</v>
      </c>
      <c r="I65" s="8">
        <v>0.45833333333333331</v>
      </c>
      <c r="J65" s="8">
        <v>0.70833333333333337</v>
      </c>
      <c r="K65" s="9">
        <v>46266</v>
      </c>
      <c r="L65" s="9">
        <v>46266</v>
      </c>
      <c r="M65" s="30" t="s">
        <v>137</v>
      </c>
    </row>
    <row r="66" spans="1:13" ht="45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90</v>
      </c>
      <c r="C66" s="6" t="s">
        <v>104</v>
      </c>
      <c r="D66" s="6" t="s">
        <v>134</v>
      </c>
      <c r="E66" s="40">
        <v>6</v>
      </c>
      <c r="F66" s="40" t="s">
        <v>244</v>
      </c>
      <c r="G66" s="6" t="s">
        <v>135</v>
      </c>
      <c r="H66" s="6" t="s">
        <v>245</v>
      </c>
      <c r="I66" s="8">
        <v>0.45833333333333331</v>
      </c>
      <c r="J66" s="8">
        <v>0.54166666666666663</v>
      </c>
      <c r="K66" s="9">
        <v>46266</v>
      </c>
      <c r="L66" s="9">
        <v>46266</v>
      </c>
      <c r="M66" s="30" t="s">
        <v>137</v>
      </c>
    </row>
    <row r="67" spans="1:13" ht="45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90</v>
      </c>
      <c r="C67" s="6" t="s">
        <v>104</v>
      </c>
      <c r="D67" s="6" t="s">
        <v>134</v>
      </c>
      <c r="E67" s="40">
        <v>6</v>
      </c>
      <c r="F67" s="40" t="s">
        <v>244</v>
      </c>
      <c r="G67" s="6" t="s">
        <v>135</v>
      </c>
      <c r="H67" s="6" t="s">
        <v>245</v>
      </c>
      <c r="I67" s="8">
        <v>0.58333333333333337</v>
      </c>
      <c r="J67" s="8">
        <v>0.70833333333333337</v>
      </c>
      <c r="K67" s="9">
        <v>46266</v>
      </c>
      <c r="L67" s="9">
        <v>46266</v>
      </c>
      <c r="M67" s="30" t="s">
        <v>137</v>
      </c>
    </row>
    <row r="68" spans="1:13" ht="60" x14ac:dyDescent="0.25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90</v>
      </c>
      <c r="C68" s="6" t="s">
        <v>104</v>
      </c>
      <c r="D68" s="6" t="s">
        <v>233</v>
      </c>
      <c r="E68" s="40" t="s">
        <v>105</v>
      </c>
      <c r="F68" s="40" t="s">
        <v>246</v>
      </c>
      <c r="G68" s="6" t="s">
        <v>135</v>
      </c>
      <c r="H68" s="6" t="s">
        <v>247</v>
      </c>
      <c r="I68" s="8">
        <v>0.45833333333333331</v>
      </c>
      <c r="J68" s="8">
        <v>0.70833333333333337</v>
      </c>
      <c r="K68" s="9">
        <v>46266</v>
      </c>
      <c r="L68" s="9">
        <v>46266</v>
      </c>
      <c r="M68" s="30" t="s">
        <v>248</v>
      </c>
    </row>
    <row r="69" spans="1:13" ht="30" x14ac:dyDescent="0.25">
      <c r="A69" s="29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104</v>
      </c>
      <c r="C69" s="6" t="s">
        <v>107</v>
      </c>
      <c r="D69" s="6" t="s">
        <v>134</v>
      </c>
      <c r="E69" s="40" t="s">
        <v>242</v>
      </c>
      <c r="F69" s="40" t="s">
        <v>249</v>
      </c>
      <c r="G69" s="6" t="s">
        <v>135</v>
      </c>
      <c r="H69" s="6" t="s">
        <v>250</v>
      </c>
      <c r="I69" s="8">
        <v>0.45833333333333331</v>
      </c>
      <c r="J69" s="8">
        <v>0.54166666666666663</v>
      </c>
      <c r="K69" s="9">
        <v>46266</v>
      </c>
      <c r="L69" s="9">
        <v>46266</v>
      </c>
      <c r="M69" s="30" t="s">
        <v>137</v>
      </c>
    </row>
    <row r="70" spans="1:13" ht="3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104</v>
      </c>
      <c r="C70" s="6" t="s">
        <v>107</v>
      </c>
      <c r="D70" s="6" t="s">
        <v>134</v>
      </c>
      <c r="E70" s="40" t="s">
        <v>249</v>
      </c>
      <c r="F70" s="40" t="s">
        <v>251</v>
      </c>
      <c r="G70" s="6" t="s">
        <v>135</v>
      </c>
      <c r="H70" s="6" t="s">
        <v>250</v>
      </c>
      <c r="I70" s="8">
        <v>0.58333333333333337</v>
      </c>
      <c r="J70" s="8">
        <v>0.70833333333333337</v>
      </c>
      <c r="K70" s="9">
        <v>46266</v>
      </c>
      <c r="L70" s="9">
        <v>46266</v>
      </c>
      <c r="M70" s="30" t="s">
        <v>137</v>
      </c>
    </row>
    <row r="71" spans="1:13" ht="30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107</v>
      </c>
      <c r="C71" s="6" t="s">
        <v>107</v>
      </c>
      <c r="D71" s="6" t="s">
        <v>233</v>
      </c>
      <c r="E71" s="40" t="s">
        <v>252</v>
      </c>
      <c r="F71" s="40" t="s">
        <v>253</v>
      </c>
      <c r="G71" s="6" t="s">
        <v>236</v>
      </c>
      <c r="H71" s="6" t="s">
        <v>254</v>
      </c>
      <c r="I71" s="8">
        <v>0.625</v>
      </c>
      <c r="J71" s="8">
        <v>0.66666666666666663</v>
      </c>
      <c r="K71" s="9">
        <v>45719</v>
      </c>
      <c r="L71" s="9" t="s">
        <v>125</v>
      </c>
      <c r="M71" s="30" t="s">
        <v>255</v>
      </c>
    </row>
    <row r="72" spans="1:13" ht="60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107</v>
      </c>
      <c r="C72" s="6" t="s">
        <v>118</v>
      </c>
      <c r="D72" s="6" t="s">
        <v>134</v>
      </c>
      <c r="E72" s="40" t="s">
        <v>256</v>
      </c>
      <c r="F72" s="40" t="s">
        <v>257</v>
      </c>
      <c r="G72" s="6" t="s">
        <v>135</v>
      </c>
      <c r="H72" s="6" t="s">
        <v>258</v>
      </c>
      <c r="I72" s="8">
        <v>0.45833333333333331</v>
      </c>
      <c r="J72" s="8">
        <v>0.70833333333333337</v>
      </c>
      <c r="K72" s="9">
        <v>46266</v>
      </c>
      <c r="L72" s="9">
        <v>46266</v>
      </c>
      <c r="M72" s="30" t="s">
        <v>259</v>
      </c>
    </row>
    <row r="73" spans="1:13" ht="3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107</v>
      </c>
      <c r="C73" s="6" t="s">
        <v>118</v>
      </c>
      <c r="D73" s="6" t="s">
        <v>260</v>
      </c>
      <c r="E73" s="40" t="s">
        <v>261</v>
      </c>
      <c r="F73" s="40" t="s">
        <v>262</v>
      </c>
      <c r="G73" s="6" t="s">
        <v>263</v>
      </c>
      <c r="H73" s="6" t="s">
        <v>264</v>
      </c>
      <c r="I73" s="8">
        <v>0</v>
      </c>
      <c r="J73" s="8">
        <v>0.27083333333333331</v>
      </c>
      <c r="K73" s="9">
        <v>44737</v>
      </c>
      <c r="L73" s="9" t="s">
        <v>125</v>
      </c>
      <c r="M73" s="30" t="s">
        <v>265</v>
      </c>
    </row>
    <row r="74" spans="1:13" ht="30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107</v>
      </c>
      <c r="C74" s="6" t="s">
        <v>118</v>
      </c>
      <c r="D74" s="6" t="s">
        <v>260</v>
      </c>
      <c r="E74" s="40" t="s">
        <v>261</v>
      </c>
      <c r="F74" s="40" t="s">
        <v>262</v>
      </c>
      <c r="G74" s="6" t="s">
        <v>263</v>
      </c>
      <c r="H74" s="6" t="s">
        <v>264</v>
      </c>
      <c r="I74" s="8">
        <v>0.9375</v>
      </c>
      <c r="J74" s="8">
        <v>0.99930555555555556</v>
      </c>
      <c r="K74" s="9">
        <v>44737</v>
      </c>
      <c r="L74" s="9" t="s">
        <v>125</v>
      </c>
      <c r="M74" s="30" t="s">
        <v>265</v>
      </c>
    </row>
    <row r="75" spans="1:13" ht="30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118</v>
      </c>
      <c r="C75" s="6" t="s">
        <v>118</v>
      </c>
      <c r="D75" s="6" t="s">
        <v>81</v>
      </c>
      <c r="E75" s="40" t="s">
        <v>266</v>
      </c>
      <c r="F75" s="40" t="s">
        <v>267</v>
      </c>
      <c r="G75" s="6" t="s">
        <v>135</v>
      </c>
      <c r="H75" s="6" t="s">
        <v>268</v>
      </c>
      <c r="I75" s="8">
        <v>0.95833333333333337</v>
      </c>
      <c r="J75" s="8">
        <v>0.99930555555555556</v>
      </c>
      <c r="K75" s="9">
        <v>46266</v>
      </c>
      <c r="L75" s="9">
        <v>46266</v>
      </c>
      <c r="M75" s="30" t="s">
        <v>169</v>
      </c>
    </row>
    <row r="76" spans="1:13" ht="3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118</v>
      </c>
      <c r="C76" s="6" t="s">
        <v>114</v>
      </c>
      <c r="D76" s="6" t="s">
        <v>110</v>
      </c>
      <c r="E76" s="40" t="s">
        <v>269</v>
      </c>
      <c r="F76" s="40" t="s">
        <v>116</v>
      </c>
      <c r="G76" s="6" t="s">
        <v>135</v>
      </c>
      <c r="H76" s="6" t="s">
        <v>270</v>
      </c>
      <c r="I76" s="8">
        <v>0.95833333333333337</v>
      </c>
      <c r="J76" s="8">
        <v>0.99930555555555556</v>
      </c>
      <c r="K76" s="9">
        <v>46266</v>
      </c>
      <c r="L76" s="9">
        <v>46266</v>
      </c>
      <c r="M76" s="30" t="s">
        <v>169</v>
      </c>
    </row>
    <row r="77" spans="1:13" ht="45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114</v>
      </c>
      <c r="C77" s="6" t="s">
        <v>114</v>
      </c>
      <c r="D77" s="6" t="s">
        <v>260</v>
      </c>
      <c r="E77" s="40" t="s">
        <v>271</v>
      </c>
      <c r="F77" s="40" t="s">
        <v>272</v>
      </c>
      <c r="G77" s="6" t="s">
        <v>236</v>
      </c>
      <c r="H77" s="6" t="s">
        <v>273</v>
      </c>
      <c r="I77" s="8">
        <v>0.29166666666666669</v>
      </c>
      <c r="J77" s="8">
        <v>0.375</v>
      </c>
      <c r="K77" s="9">
        <v>45365</v>
      </c>
      <c r="L77" s="9" t="s">
        <v>125</v>
      </c>
      <c r="M77" s="30" t="s">
        <v>255</v>
      </c>
    </row>
    <row r="78" spans="1:13" ht="45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114</v>
      </c>
      <c r="C78" s="6" t="s">
        <v>114</v>
      </c>
      <c r="D78" s="6" t="s">
        <v>260</v>
      </c>
      <c r="E78" s="40" t="s">
        <v>271</v>
      </c>
      <c r="F78" s="40" t="s">
        <v>272</v>
      </c>
      <c r="G78" s="6" t="s">
        <v>236</v>
      </c>
      <c r="H78" s="6" t="s">
        <v>273</v>
      </c>
      <c r="I78" s="8">
        <v>0.56944444444444442</v>
      </c>
      <c r="J78" s="8">
        <v>0.59375</v>
      </c>
      <c r="K78" s="9">
        <v>45365</v>
      </c>
      <c r="L78" s="9" t="s">
        <v>125</v>
      </c>
      <c r="M78" s="30" t="s">
        <v>255</v>
      </c>
    </row>
    <row r="79" spans="1:13" ht="45.75" thickBot="1" x14ac:dyDescent="0.3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114</v>
      </c>
      <c r="C79" s="6" t="s">
        <v>114</v>
      </c>
      <c r="D79" s="6" t="s">
        <v>260</v>
      </c>
      <c r="E79" s="40" t="s">
        <v>271</v>
      </c>
      <c r="F79" s="40" t="s">
        <v>272</v>
      </c>
      <c r="G79" s="6" t="s">
        <v>236</v>
      </c>
      <c r="H79" s="6" t="s">
        <v>273</v>
      </c>
      <c r="I79" s="8">
        <v>0.70833333333333337</v>
      </c>
      <c r="J79" s="8">
        <v>0.83333333333333337</v>
      </c>
      <c r="K79" s="9">
        <v>45365</v>
      </c>
      <c r="L79" s="9" t="s">
        <v>125</v>
      </c>
      <c r="M79" s="30" t="s">
        <v>255</v>
      </c>
    </row>
    <row r="80" spans="1:13" ht="22.5" customHeight="1" thickBot="1" x14ac:dyDescent="0.3">
      <c r="A80" s="45"/>
      <c r="B80" s="46"/>
      <c r="C80" s="46"/>
      <c r="D80" s="121" t="s">
        <v>28</v>
      </c>
      <c r="E80" s="121"/>
      <c r="F80" s="121"/>
      <c r="G80" s="121"/>
      <c r="H80" s="121"/>
      <c r="I80" s="121"/>
      <c r="J80" s="121"/>
      <c r="K80" s="121"/>
      <c r="L80" s="46"/>
      <c r="M80" s="47"/>
    </row>
    <row r="81" spans="1:13" ht="18" customHeight="1" x14ac:dyDescent="0.25">
      <c r="A81" s="165" t="s">
        <v>5</v>
      </c>
      <c r="B81" s="163" t="s">
        <v>0</v>
      </c>
      <c r="C81" s="164"/>
      <c r="D81" s="161" t="s">
        <v>11</v>
      </c>
      <c r="E81" s="167" t="s">
        <v>6</v>
      </c>
      <c r="F81" s="168"/>
      <c r="G81" s="161" t="s">
        <v>19</v>
      </c>
      <c r="H81" s="161" t="s">
        <v>16</v>
      </c>
      <c r="I81" s="154" t="s">
        <v>3</v>
      </c>
      <c r="J81" s="155"/>
      <c r="K81" s="152" t="s">
        <v>4</v>
      </c>
      <c r="L81" s="153"/>
      <c r="M81" s="122" t="s">
        <v>9</v>
      </c>
    </row>
    <row r="82" spans="1:13" ht="18" customHeight="1" x14ac:dyDescent="0.25">
      <c r="A82" s="166"/>
      <c r="B82" s="2" t="s">
        <v>1</v>
      </c>
      <c r="C82" s="5" t="s">
        <v>2</v>
      </c>
      <c r="D82" s="162"/>
      <c r="E82" s="39" t="s">
        <v>1</v>
      </c>
      <c r="F82" s="39" t="s">
        <v>2</v>
      </c>
      <c r="G82" s="162"/>
      <c r="H82" s="162"/>
      <c r="I82" s="10" t="s">
        <v>8</v>
      </c>
      <c r="J82" s="11" t="s">
        <v>17</v>
      </c>
      <c r="K82" s="11" t="s">
        <v>8</v>
      </c>
      <c r="L82" s="11" t="s">
        <v>17</v>
      </c>
      <c r="M82" s="123"/>
    </row>
    <row r="83" spans="1:13" ht="12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66</v>
      </c>
      <c r="C83" s="6" t="s">
        <v>67</v>
      </c>
      <c r="D83" s="6" t="s">
        <v>68</v>
      </c>
      <c r="E83" s="40" t="s">
        <v>69</v>
      </c>
      <c r="F83" s="40" t="s">
        <v>70</v>
      </c>
      <c r="G83" s="6" t="s">
        <v>71</v>
      </c>
      <c r="H83" s="6" t="s">
        <v>72</v>
      </c>
      <c r="I83" s="44">
        <v>0</v>
      </c>
      <c r="J83" s="44">
        <v>0.20833333333333334</v>
      </c>
      <c r="K83" s="9">
        <v>46266</v>
      </c>
      <c r="L83" s="9">
        <v>46266</v>
      </c>
      <c r="M83" s="30" t="s">
        <v>73</v>
      </c>
    </row>
    <row r="84" spans="1:13" ht="12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66</v>
      </c>
      <c r="C84" s="6" t="s">
        <v>67</v>
      </c>
      <c r="D84" s="6" t="s">
        <v>68</v>
      </c>
      <c r="E84" s="40" t="s">
        <v>69</v>
      </c>
      <c r="F84" s="40" t="s">
        <v>70</v>
      </c>
      <c r="G84" s="6" t="s">
        <v>71</v>
      </c>
      <c r="H84" s="6" t="s">
        <v>72</v>
      </c>
      <c r="I84" s="44">
        <v>0.95833333333333337</v>
      </c>
      <c r="J84" s="44">
        <v>0</v>
      </c>
      <c r="K84" s="9">
        <v>46266</v>
      </c>
      <c r="L84" s="9">
        <v>46266</v>
      </c>
      <c r="M84" s="30" t="s">
        <v>73</v>
      </c>
    </row>
    <row r="85" spans="1:13" ht="255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66</v>
      </c>
      <c r="C85" s="6" t="s">
        <v>74</v>
      </c>
      <c r="D85" s="6" t="s">
        <v>68</v>
      </c>
      <c r="E85" s="40" t="s">
        <v>75</v>
      </c>
      <c r="F85" s="40" t="s">
        <v>76</v>
      </c>
      <c r="G85" s="6" t="s">
        <v>71</v>
      </c>
      <c r="H85" s="6" t="s">
        <v>77</v>
      </c>
      <c r="I85" s="44">
        <v>0</v>
      </c>
      <c r="J85" s="44">
        <v>0.20833333333333334</v>
      </c>
      <c r="K85" s="9">
        <v>46266</v>
      </c>
      <c r="L85" s="9">
        <v>46266</v>
      </c>
      <c r="M85" s="30" t="s">
        <v>78</v>
      </c>
    </row>
    <row r="86" spans="1:13" ht="255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66</v>
      </c>
      <c r="C86" s="6" t="s">
        <v>74</v>
      </c>
      <c r="D86" s="6" t="s">
        <v>68</v>
      </c>
      <c r="E86" s="40" t="s">
        <v>75</v>
      </c>
      <c r="F86" s="40" t="s">
        <v>76</v>
      </c>
      <c r="G86" s="6" t="s">
        <v>71</v>
      </c>
      <c r="H86" s="6" t="s">
        <v>77</v>
      </c>
      <c r="I86" s="44">
        <v>0.98611111111111116</v>
      </c>
      <c r="J86" s="44">
        <v>0.99930555555555556</v>
      </c>
      <c r="K86" s="9">
        <v>46266</v>
      </c>
      <c r="L86" s="9">
        <v>46266</v>
      </c>
      <c r="M86" s="30" t="s">
        <v>78</v>
      </c>
    </row>
    <row r="87" spans="1:13" ht="30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79</v>
      </c>
      <c r="C87" s="6" t="s">
        <v>80</v>
      </c>
      <c r="D87" s="6" t="s">
        <v>81</v>
      </c>
      <c r="E87" s="40" t="s">
        <v>82</v>
      </c>
      <c r="F87" s="40" t="s">
        <v>83</v>
      </c>
      <c r="G87" s="6" t="s">
        <v>71</v>
      </c>
      <c r="H87" s="6" t="s">
        <v>84</v>
      </c>
      <c r="I87" s="44">
        <v>0</v>
      </c>
      <c r="J87" s="44">
        <v>0.20833333333333334</v>
      </c>
      <c r="K87" s="9">
        <v>46266</v>
      </c>
      <c r="L87" s="9">
        <v>46266</v>
      </c>
      <c r="M87" s="30" t="s">
        <v>85</v>
      </c>
    </row>
    <row r="88" spans="1:13" ht="75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67</v>
      </c>
      <c r="C88" s="6" t="s">
        <v>67</v>
      </c>
      <c r="D88" s="6" t="s">
        <v>86</v>
      </c>
      <c r="E88" s="40" t="s">
        <v>87</v>
      </c>
      <c r="F88" s="40" t="s">
        <v>88</v>
      </c>
      <c r="G88" s="6" t="s">
        <v>71</v>
      </c>
      <c r="H88" s="6" t="s">
        <v>89</v>
      </c>
      <c r="I88" s="44">
        <v>0</v>
      </c>
      <c r="J88" s="44">
        <v>0.20833333333333334</v>
      </c>
      <c r="K88" s="9">
        <v>46266</v>
      </c>
      <c r="L88" s="9">
        <v>46266</v>
      </c>
      <c r="M88" s="30" t="s">
        <v>78</v>
      </c>
    </row>
    <row r="89" spans="1:13" ht="75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67</v>
      </c>
      <c r="C89" s="6" t="s">
        <v>67</v>
      </c>
      <c r="D89" s="6" t="s">
        <v>86</v>
      </c>
      <c r="E89" s="40" t="s">
        <v>87</v>
      </c>
      <c r="F89" s="40" t="s">
        <v>88</v>
      </c>
      <c r="G89" s="6" t="s">
        <v>71</v>
      </c>
      <c r="H89" s="6" t="s">
        <v>89</v>
      </c>
      <c r="I89" s="44">
        <v>0.98611111111111116</v>
      </c>
      <c r="J89" s="44">
        <v>0.99930555555555556</v>
      </c>
      <c r="K89" s="9">
        <v>46266</v>
      </c>
      <c r="L89" s="9">
        <v>46266</v>
      </c>
      <c r="M89" s="30" t="s">
        <v>78</v>
      </c>
    </row>
    <row r="90" spans="1:13" ht="105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67</v>
      </c>
      <c r="C90" s="6" t="s">
        <v>90</v>
      </c>
      <c r="D90" s="6" t="s">
        <v>68</v>
      </c>
      <c r="E90" s="40" t="s">
        <v>91</v>
      </c>
      <c r="F90" s="40" t="s">
        <v>92</v>
      </c>
      <c r="G90" s="6" t="s">
        <v>71</v>
      </c>
      <c r="H90" s="6" t="s">
        <v>93</v>
      </c>
      <c r="I90" s="44">
        <v>0</v>
      </c>
      <c r="J90" s="44">
        <v>0.20833333333333334</v>
      </c>
      <c r="K90" s="9">
        <v>46266</v>
      </c>
      <c r="L90" s="9">
        <v>46266</v>
      </c>
      <c r="M90" s="30" t="s">
        <v>94</v>
      </c>
    </row>
    <row r="91" spans="1:13" ht="165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67</v>
      </c>
      <c r="C91" s="6" t="s">
        <v>74</v>
      </c>
      <c r="D91" s="6" t="s">
        <v>68</v>
      </c>
      <c r="E91" s="40" t="s">
        <v>95</v>
      </c>
      <c r="F91" s="40">
        <v>28.001999999999999</v>
      </c>
      <c r="G91" s="6" t="s">
        <v>71</v>
      </c>
      <c r="H91" s="6" t="s">
        <v>96</v>
      </c>
      <c r="I91" s="44">
        <v>0</v>
      </c>
      <c r="J91" s="44">
        <v>0.20833333333333334</v>
      </c>
      <c r="K91" s="9">
        <v>46266</v>
      </c>
      <c r="L91" s="9">
        <v>46266</v>
      </c>
      <c r="M91" s="30" t="s">
        <v>97</v>
      </c>
    </row>
    <row r="92" spans="1:13" ht="90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67</v>
      </c>
      <c r="C92" s="6" t="s">
        <v>74</v>
      </c>
      <c r="D92" s="6" t="s">
        <v>68</v>
      </c>
      <c r="E92" s="40" t="s">
        <v>95</v>
      </c>
      <c r="F92" s="40" t="s">
        <v>98</v>
      </c>
      <c r="G92" s="6" t="s">
        <v>71</v>
      </c>
      <c r="H92" s="6" t="s">
        <v>99</v>
      </c>
      <c r="I92" s="44">
        <v>0</v>
      </c>
      <c r="J92" s="44">
        <v>0.20833333333333334</v>
      </c>
      <c r="K92" s="9">
        <v>46266</v>
      </c>
      <c r="L92" s="9">
        <v>46266</v>
      </c>
      <c r="M92" s="30" t="s">
        <v>73</v>
      </c>
    </row>
    <row r="93" spans="1:13" ht="120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67</v>
      </c>
      <c r="C93" s="6" t="s">
        <v>74</v>
      </c>
      <c r="D93" s="6" t="s">
        <v>68</v>
      </c>
      <c r="E93" s="40" t="s">
        <v>95</v>
      </c>
      <c r="F93" s="40">
        <v>28.001999999999999</v>
      </c>
      <c r="G93" s="6" t="s">
        <v>71</v>
      </c>
      <c r="H93" s="6" t="s">
        <v>100</v>
      </c>
      <c r="I93" s="44">
        <v>0.95833333333333337</v>
      </c>
      <c r="J93" s="44">
        <v>0.99930555555555556</v>
      </c>
      <c r="K93" s="9">
        <v>46266</v>
      </c>
      <c r="L93" s="9">
        <v>46266</v>
      </c>
      <c r="M93" s="30" t="s">
        <v>97</v>
      </c>
    </row>
    <row r="94" spans="1:13" ht="90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67</v>
      </c>
      <c r="C94" s="6" t="s">
        <v>74</v>
      </c>
      <c r="D94" s="6" t="s">
        <v>68</v>
      </c>
      <c r="E94" s="40" t="s">
        <v>95</v>
      </c>
      <c r="F94" s="40" t="s">
        <v>98</v>
      </c>
      <c r="G94" s="6" t="s">
        <v>71</v>
      </c>
      <c r="H94" s="6" t="s">
        <v>99</v>
      </c>
      <c r="I94" s="44">
        <v>0.95833333333333337</v>
      </c>
      <c r="J94" s="44">
        <v>0</v>
      </c>
      <c r="K94" s="9">
        <v>46266</v>
      </c>
      <c r="L94" s="9">
        <v>46266</v>
      </c>
      <c r="M94" s="30" t="s">
        <v>73</v>
      </c>
    </row>
    <row r="95" spans="1:13" ht="45" x14ac:dyDescent="0.25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67</v>
      </c>
      <c r="C95" s="6" t="s">
        <v>90</v>
      </c>
      <c r="D95" s="6" t="s">
        <v>81</v>
      </c>
      <c r="E95" s="40" t="s">
        <v>88</v>
      </c>
      <c r="F95" s="40" t="s">
        <v>101</v>
      </c>
      <c r="G95" s="6" t="s">
        <v>71</v>
      </c>
      <c r="H95" s="6" t="s">
        <v>102</v>
      </c>
      <c r="I95" s="44">
        <v>0</v>
      </c>
      <c r="J95" s="44">
        <v>0.20833333333333334</v>
      </c>
      <c r="K95" s="9">
        <v>46266</v>
      </c>
      <c r="L95" s="9">
        <v>46266</v>
      </c>
      <c r="M95" s="30" t="s">
        <v>103</v>
      </c>
    </row>
    <row r="96" spans="1:13" ht="120" x14ac:dyDescent="0.25">
      <c r="A96" s="29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67</v>
      </c>
      <c r="C96" s="6" t="s">
        <v>104</v>
      </c>
      <c r="D96" s="6" t="s">
        <v>81</v>
      </c>
      <c r="E96" s="40">
        <v>1</v>
      </c>
      <c r="F96" s="40" t="s">
        <v>105</v>
      </c>
      <c r="G96" s="6" t="s">
        <v>71</v>
      </c>
      <c r="H96" s="6" t="s">
        <v>106</v>
      </c>
      <c r="I96" s="44">
        <v>0</v>
      </c>
      <c r="J96" s="44">
        <v>0.20833333333333334</v>
      </c>
      <c r="K96" s="9">
        <v>46266</v>
      </c>
      <c r="L96" s="9">
        <v>46266</v>
      </c>
      <c r="M96" s="30" t="s">
        <v>78</v>
      </c>
    </row>
    <row r="97" spans="1:13" ht="120" x14ac:dyDescent="0.25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67</v>
      </c>
      <c r="C97" s="6" t="s">
        <v>104</v>
      </c>
      <c r="D97" s="6" t="s">
        <v>81</v>
      </c>
      <c r="E97" s="40">
        <v>1</v>
      </c>
      <c r="F97" s="40" t="s">
        <v>105</v>
      </c>
      <c r="G97" s="6" t="s">
        <v>71</v>
      </c>
      <c r="H97" s="6" t="s">
        <v>106</v>
      </c>
      <c r="I97" s="44">
        <v>0.98611111111111116</v>
      </c>
      <c r="J97" s="44">
        <v>0.99930555555555556</v>
      </c>
      <c r="K97" s="9">
        <v>46266</v>
      </c>
      <c r="L97" s="9">
        <v>46266</v>
      </c>
      <c r="M97" s="30" t="s">
        <v>78</v>
      </c>
    </row>
    <row r="98" spans="1:13" ht="75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90</v>
      </c>
      <c r="C98" s="6" t="s">
        <v>107</v>
      </c>
      <c r="D98" s="6" t="s">
        <v>81</v>
      </c>
      <c r="E98" s="40" t="s">
        <v>105</v>
      </c>
      <c r="F98" s="40" t="s">
        <v>108</v>
      </c>
      <c r="G98" s="6" t="s">
        <v>71</v>
      </c>
      <c r="H98" s="6" t="s">
        <v>109</v>
      </c>
      <c r="I98" s="44">
        <v>0</v>
      </c>
      <c r="J98" s="44">
        <v>0.20833333333333334</v>
      </c>
      <c r="K98" s="9">
        <v>46266</v>
      </c>
      <c r="L98" s="9">
        <v>46266</v>
      </c>
      <c r="M98" s="30" t="s">
        <v>78</v>
      </c>
    </row>
    <row r="99" spans="1:13" ht="75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90</v>
      </c>
      <c r="C99" s="6" t="s">
        <v>107</v>
      </c>
      <c r="D99" s="6" t="s">
        <v>81</v>
      </c>
      <c r="E99" s="40" t="s">
        <v>105</v>
      </c>
      <c r="F99" s="40" t="s">
        <v>108</v>
      </c>
      <c r="G99" s="6" t="s">
        <v>71</v>
      </c>
      <c r="H99" s="6" t="s">
        <v>109</v>
      </c>
      <c r="I99" s="44">
        <v>0.98611111111111116</v>
      </c>
      <c r="J99" s="44">
        <v>0.99930555555555556</v>
      </c>
      <c r="K99" s="9">
        <v>46266</v>
      </c>
      <c r="L99" s="9">
        <v>46266</v>
      </c>
      <c r="M99" s="30" t="s">
        <v>78</v>
      </c>
    </row>
    <row r="100" spans="1:13" ht="45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104</v>
      </c>
      <c r="C100" s="6" t="s">
        <v>104</v>
      </c>
      <c r="D100" s="6" t="s">
        <v>110</v>
      </c>
      <c r="E100" s="40" t="s">
        <v>111</v>
      </c>
      <c r="F100" s="40" t="s">
        <v>112</v>
      </c>
      <c r="G100" s="6" t="s">
        <v>71</v>
      </c>
      <c r="H100" s="6" t="s">
        <v>113</v>
      </c>
      <c r="I100" s="44">
        <v>0</v>
      </c>
      <c r="J100" s="44">
        <v>0.20833333333333334</v>
      </c>
      <c r="K100" s="9">
        <v>46266</v>
      </c>
      <c r="L100" s="9">
        <v>46266</v>
      </c>
      <c r="M100" s="30" t="s">
        <v>85</v>
      </c>
    </row>
    <row r="101" spans="1:13" ht="75" x14ac:dyDescent="0.25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107</v>
      </c>
      <c r="C101" s="6" t="s">
        <v>114</v>
      </c>
      <c r="D101" s="6" t="s">
        <v>81</v>
      </c>
      <c r="E101" s="40" t="s">
        <v>115</v>
      </c>
      <c r="F101" s="40" t="s">
        <v>116</v>
      </c>
      <c r="G101" s="6" t="s">
        <v>71</v>
      </c>
      <c r="H101" s="6" t="s">
        <v>117</v>
      </c>
      <c r="I101" s="44">
        <v>0</v>
      </c>
      <c r="J101" s="44">
        <v>0.20833333333333334</v>
      </c>
      <c r="K101" s="9">
        <v>46266</v>
      </c>
      <c r="L101" s="9">
        <v>46266</v>
      </c>
      <c r="M101" s="30" t="s">
        <v>78</v>
      </c>
    </row>
    <row r="102" spans="1:13" ht="75" x14ac:dyDescent="0.25">
      <c r="A102" s="29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107</v>
      </c>
      <c r="C102" s="6" t="s">
        <v>114</v>
      </c>
      <c r="D102" s="6" t="s">
        <v>81</v>
      </c>
      <c r="E102" s="40" t="s">
        <v>115</v>
      </c>
      <c r="F102" s="40" t="s">
        <v>116</v>
      </c>
      <c r="G102" s="6" t="s">
        <v>71</v>
      </c>
      <c r="H102" s="6" t="s">
        <v>117</v>
      </c>
      <c r="I102" s="44">
        <v>0.98611111111111116</v>
      </c>
      <c r="J102" s="44">
        <v>0.99930555555555556</v>
      </c>
      <c r="K102" s="9">
        <v>46266</v>
      </c>
      <c r="L102" s="9">
        <v>46266</v>
      </c>
      <c r="M102" s="30" t="s">
        <v>78</v>
      </c>
    </row>
    <row r="103" spans="1:13" ht="75" x14ac:dyDescent="0.25">
      <c r="A103" s="29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118</v>
      </c>
      <c r="C103" s="6" t="s">
        <v>74</v>
      </c>
      <c r="D103" s="6" t="s">
        <v>81</v>
      </c>
      <c r="E103" s="40" t="s">
        <v>116</v>
      </c>
      <c r="F103" s="40" t="s">
        <v>119</v>
      </c>
      <c r="G103" s="6" t="s">
        <v>71</v>
      </c>
      <c r="H103" s="6" t="s">
        <v>120</v>
      </c>
      <c r="I103" s="44">
        <v>0</v>
      </c>
      <c r="J103" s="44">
        <v>0.20833333333333334</v>
      </c>
      <c r="K103" s="9">
        <v>46266</v>
      </c>
      <c r="L103" s="9">
        <v>46266</v>
      </c>
      <c r="M103" s="30" t="s">
        <v>78</v>
      </c>
    </row>
    <row r="104" spans="1:13" ht="75" x14ac:dyDescent="0.25">
      <c r="A104" s="29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118</v>
      </c>
      <c r="C104" s="6" t="s">
        <v>74</v>
      </c>
      <c r="D104" s="6" t="s">
        <v>81</v>
      </c>
      <c r="E104" s="40" t="s">
        <v>116</v>
      </c>
      <c r="F104" s="40" t="s">
        <v>119</v>
      </c>
      <c r="G104" s="6" t="s">
        <v>71</v>
      </c>
      <c r="H104" s="6" t="s">
        <v>120</v>
      </c>
      <c r="I104" s="44">
        <v>0.98611111111111116</v>
      </c>
      <c r="J104" s="44">
        <v>0.99930555555555556</v>
      </c>
      <c r="K104" s="9">
        <v>46266</v>
      </c>
      <c r="L104" s="9">
        <v>46266</v>
      </c>
      <c r="M104" s="30" t="s">
        <v>78</v>
      </c>
    </row>
    <row r="105" spans="1:13" ht="45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114</v>
      </c>
      <c r="C105" s="6" t="s">
        <v>114</v>
      </c>
      <c r="D105" s="6" t="s">
        <v>110</v>
      </c>
      <c r="E105" s="40" t="s">
        <v>121</v>
      </c>
      <c r="F105" s="40" t="s">
        <v>122</v>
      </c>
      <c r="G105" s="6" t="s">
        <v>71</v>
      </c>
      <c r="H105" s="6" t="s">
        <v>123</v>
      </c>
      <c r="I105" s="44">
        <v>0</v>
      </c>
      <c r="J105" s="44">
        <v>0.20833333333333334</v>
      </c>
      <c r="K105" s="9">
        <v>46266</v>
      </c>
      <c r="L105" s="9">
        <v>46266</v>
      </c>
      <c r="M105" s="30" t="s">
        <v>85</v>
      </c>
    </row>
    <row r="106" spans="1:13" ht="315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66</v>
      </c>
      <c r="C106" s="6" t="s">
        <v>66</v>
      </c>
      <c r="D106" s="99" t="s">
        <v>124</v>
      </c>
      <c r="E106" s="100"/>
      <c r="F106" s="101"/>
      <c r="G106" s="6" t="s">
        <v>71</v>
      </c>
      <c r="H106" s="6" t="s">
        <v>132</v>
      </c>
      <c r="I106" s="44">
        <v>0</v>
      </c>
      <c r="J106" s="44">
        <v>0.20833333333333334</v>
      </c>
      <c r="K106" s="9">
        <v>46266</v>
      </c>
      <c r="L106" s="9">
        <v>46266</v>
      </c>
      <c r="M106" s="30" t="s">
        <v>131</v>
      </c>
    </row>
    <row r="107" spans="1:13" ht="120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66</v>
      </c>
      <c r="C107" s="6" t="s">
        <v>66</v>
      </c>
      <c r="D107" s="99" t="s">
        <v>124</v>
      </c>
      <c r="E107" s="100"/>
      <c r="F107" s="101"/>
      <c r="G107" s="6" t="s">
        <v>71</v>
      </c>
      <c r="H107" s="6" t="s">
        <v>126</v>
      </c>
      <c r="I107" s="44">
        <v>0.33333333333333331</v>
      </c>
      <c r="J107" s="44">
        <v>0.75</v>
      </c>
      <c r="K107" s="9">
        <v>46266</v>
      </c>
      <c r="L107" s="9">
        <v>46266</v>
      </c>
      <c r="M107" s="30" t="s">
        <v>127</v>
      </c>
    </row>
    <row r="108" spans="1:13" ht="180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128</v>
      </c>
      <c r="C108" s="6" t="s">
        <v>128</v>
      </c>
      <c r="D108" s="99" t="s">
        <v>124</v>
      </c>
      <c r="E108" s="100"/>
      <c r="F108" s="101"/>
      <c r="G108" s="6" t="s">
        <v>71</v>
      </c>
      <c r="H108" s="6" t="s">
        <v>129</v>
      </c>
      <c r="I108" s="44">
        <v>0</v>
      </c>
      <c r="J108" s="44">
        <v>0.16666666666666666</v>
      </c>
      <c r="K108" s="9">
        <v>46266</v>
      </c>
      <c r="L108" s="9">
        <v>46266</v>
      </c>
      <c r="M108" s="30" t="s">
        <v>127</v>
      </c>
    </row>
    <row r="109" spans="1:13" ht="180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128</v>
      </c>
      <c r="C109" s="6" t="s">
        <v>128</v>
      </c>
      <c r="D109" s="99" t="s">
        <v>124</v>
      </c>
      <c r="E109" s="100"/>
      <c r="F109" s="101"/>
      <c r="G109" s="6" t="s">
        <v>71</v>
      </c>
      <c r="H109" s="6" t="s">
        <v>129</v>
      </c>
      <c r="I109" s="44">
        <v>0.95833333333333337</v>
      </c>
      <c r="J109" s="44">
        <v>0.99930555555555556</v>
      </c>
      <c r="K109" s="9">
        <v>46266</v>
      </c>
      <c r="L109" s="9">
        <v>46266</v>
      </c>
      <c r="M109" s="30" t="s">
        <v>127</v>
      </c>
    </row>
    <row r="110" spans="1:13" ht="330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128</v>
      </c>
      <c r="C110" s="6" t="s">
        <v>128</v>
      </c>
      <c r="D110" s="99" t="s">
        <v>124</v>
      </c>
      <c r="E110" s="100"/>
      <c r="F110" s="101"/>
      <c r="G110" s="6" t="s">
        <v>71</v>
      </c>
      <c r="H110" s="6" t="s">
        <v>130</v>
      </c>
      <c r="I110" s="44">
        <v>0.97916666666666663</v>
      </c>
      <c r="J110" s="44">
        <v>0.99930555555555556</v>
      </c>
      <c r="K110" s="9">
        <v>46266</v>
      </c>
      <c r="L110" s="9">
        <v>46266</v>
      </c>
      <c r="M110" s="30" t="s">
        <v>131</v>
      </c>
    </row>
    <row r="111" spans="1:13" ht="4.5" customHeight="1" thickBot="1" x14ac:dyDescent="0.3">
      <c r="A111" s="22"/>
      <c r="B111" s="16"/>
      <c r="C111" s="17"/>
      <c r="D111" s="17"/>
      <c r="E111" s="41"/>
      <c r="F111" s="41"/>
      <c r="G111" s="17"/>
      <c r="H111" s="17"/>
      <c r="I111" s="18"/>
      <c r="J111" s="18"/>
      <c r="K111" s="19"/>
      <c r="L111" s="19"/>
      <c r="M111" s="20"/>
    </row>
    <row r="112" spans="1:13" ht="15" customHeight="1" x14ac:dyDescent="0.25">
      <c r="A112" s="102" t="s">
        <v>59</v>
      </c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4"/>
    </row>
    <row r="113" spans="1:13" ht="15" customHeight="1" thickBot="1" x14ac:dyDescent="0.3">
      <c r="A113" s="105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7"/>
    </row>
    <row r="114" spans="1:13" ht="15" customHeight="1" x14ac:dyDescent="0.25">
      <c r="A114" s="108" t="s">
        <v>60</v>
      </c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10"/>
    </row>
    <row r="115" spans="1:13" ht="15" customHeight="1" thickBot="1" x14ac:dyDescent="0.3">
      <c r="A115" s="111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3"/>
    </row>
    <row r="116" spans="1:13" s="21" customFormat="1" ht="23.25" x14ac:dyDescent="0.25">
      <c r="A116" s="114" t="s">
        <v>62</v>
      </c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6"/>
    </row>
    <row r="117" spans="1:13" s="21" customFormat="1" ht="23.25" x14ac:dyDescent="0.25">
      <c r="A117" s="173" t="s">
        <v>23</v>
      </c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5"/>
    </row>
    <row r="118" spans="1:13" s="21" customFormat="1" ht="24" thickBot="1" x14ac:dyDescent="0.3">
      <c r="A118" s="173" t="s">
        <v>24</v>
      </c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5"/>
    </row>
    <row r="119" spans="1:13" s="21" customFormat="1" ht="23.25" x14ac:dyDescent="0.25">
      <c r="A119" s="176" t="s">
        <v>63</v>
      </c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8"/>
    </row>
    <row r="120" spans="1:13" s="21" customFormat="1" ht="51.75" customHeight="1" thickBot="1" x14ac:dyDescent="0.3">
      <c r="A120" s="179" t="s">
        <v>25</v>
      </c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1"/>
    </row>
    <row r="121" spans="1:13" s="21" customFormat="1" ht="4.5" customHeight="1" thickBot="1" x14ac:dyDescent="0.3">
      <c r="A121" s="31"/>
      <c r="B121" s="32"/>
      <c r="C121" s="32"/>
      <c r="D121" s="32"/>
      <c r="E121" s="42"/>
      <c r="F121" s="42"/>
      <c r="G121" s="33"/>
      <c r="H121" s="33"/>
      <c r="I121" s="33"/>
      <c r="J121" s="33"/>
      <c r="K121" s="33"/>
      <c r="L121" s="33"/>
      <c r="M121" s="34"/>
    </row>
    <row r="122" spans="1:13" ht="22.5" customHeight="1" thickBot="1" x14ac:dyDescent="0.3">
      <c r="A122" s="45"/>
      <c r="B122" s="46"/>
      <c r="C122" s="46"/>
      <c r="D122" s="121" t="s">
        <v>56</v>
      </c>
      <c r="E122" s="121"/>
      <c r="F122" s="121"/>
      <c r="G122" s="121"/>
      <c r="H122" s="121"/>
      <c r="I122" s="121"/>
      <c r="J122" s="121"/>
      <c r="K122" s="46"/>
      <c r="L122" s="46"/>
      <c r="M122" s="47"/>
    </row>
    <row r="123" spans="1:13" s="21" customFormat="1" ht="385.5" customHeight="1" thickBot="1" x14ac:dyDescent="0.3">
      <c r="A123" s="67"/>
      <c r="B123" s="68"/>
      <c r="C123" s="69"/>
      <c r="D123" s="69"/>
      <c r="E123" s="69"/>
      <c r="F123" s="69"/>
      <c r="G123" s="69"/>
      <c r="H123" s="172"/>
      <c r="I123" s="172"/>
      <c r="J123" s="172"/>
      <c r="K123" s="172"/>
      <c r="L123" s="172"/>
      <c r="M123" s="70"/>
    </row>
    <row r="124" spans="1:13" s="21" customFormat="1" ht="14.25" customHeight="1" x14ac:dyDescent="0.25">
      <c r="A124" s="64"/>
      <c r="B124" s="62"/>
      <c r="C124" s="62"/>
      <c r="D124" s="62"/>
      <c r="E124" s="63"/>
      <c r="F124" s="63"/>
      <c r="G124" s="62"/>
      <c r="H124" s="62"/>
      <c r="I124" s="62"/>
      <c r="J124" s="62"/>
      <c r="K124" s="62"/>
      <c r="L124" s="62"/>
      <c r="M124" s="62"/>
    </row>
    <row r="125" spans="1:13" s="21" customFormat="1" ht="14.25" customHeight="1" x14ac:dyDescent="0.25">
      <c r="A125" s="64"/>
      <c r="B125" s="62"/>
      <c r="C125" s="62"/>
      <c r="D125" s="62"/>
      <c r="E125" s="63"/>
      <c r="F125" s="63"/>
      <c r="G125" s="62"/>
      <c r="H125" s="62"/>
      <c r="I125" s="62"/>
      <c r="J125" s="62"/>
      <c r="K125" s="62"/>
      <c r="L125" s="62"/>
      <c r="M125" s="62"/>
    </row>
    <row r="126" spans="1:13" s="21" customFormat="1" ht="14.25" customHeight="1" x14ac:dyDescent="0.25">
      <c r="A126" s="64"/>
      <c r="B126" s="62"/>
      <c r="C126" s="62"/>
      <c r="D126" s="62"/>
      <c r="E126" s="63"/>
      <c r="F126" s="63"/>
      <c r="G126" s="62"/>
      <c r="H126" s="62"/>
      <c r="I126" s="62"/>
      <c r="J126" s="62"/>
      <c r="K126" s="62"/>
      <c r="L126" s="62"/>
      <c r="M126" s="62"/>
    </row>
    <row r="127" spans="1:13" s="21" customFormat="1" ht="14.25" customHeight="1" x14ac:dyDescent="0.25">
      <c r="A127" s="64"/>
      <c r="B127" s="62"/>
      <c r="C127" s="62"/>
      <c r="D127" s="62"/>
      <c r="E127" s="63"/>
      <c r="F127" s="63"/>
      <c r="G127" s="62"/>
      <c r="H127" s="62"/>
      <c r="I127" s="62"/>
      <c r="J127" s="62"/>
      <c r="K127" s="62"/>
      <c r="L127" s="62"/>
      <c r="M127" s="62"/>
    </row>
    <row r="128" spans="1:13" s="21" customFormat="1" ht="14.25" customHeight="1" x14ac:dyDescent="0.25">
      <c r="A128" s="64"/>
      <c r="B128" s="62"/>
      <c r="C128" s="62"/>
      <c r="D128" s="62"/>
      <c r="E128" s="63"/>
      <c r="F128" s="63"/>
      <c r="G128" s="62"/>
      <c r="H128" s="62"/>
      <c r="I128" s="62"/>
      <c r="J128" s="62"/>
      <c r="K128" s="62"/>
      <c r="L128" s="62"/>
      <c r="M128" s="62"/>
    </row>
    <row r="129" spans="1:13" s="21" customFormat="1" ht="14.25" customHeight="1" x14ac:dyDescent="0.25">
      <c r="A129" s="64"/>
      <c r="B129" s="62"/>
      <c r="C129" s="62"/>
      <c r="D129" s="62"/>
      <c r="E129" s="63"/>
      <c r="F129" s="63"/>
      <c r="G129" s="62"/>
      <c r="H129" s="62"/>
      <c r="I129" s="62"/>
      <c r="J129" s="62"/>
      <c r="K129" s="62"/>
      <c r="L129" s="62"/>
      <c r="M129" s="62"/>
    </row>
    <row r="130" spans="1:13" s="21" customFormat="1" ht="14.25" customHeight="1" x14ac:dyDescent="0.25">
      <c r="A130" s="64"/>
      <c r="B130" s="62"/>
      <c r="C130" s="62"/>
      <c r="D130" s="62"/>
      <c r="E130" s="63"/>
      <c r="F130" s="63"/>
      <c r="G130" s="62"/>
      <c r="H130" s="62"/>
      <c r="I130" s="62"/>
      <c r="J130" s="62"/>
      <c r="K130" s="62"/>
      <c r="L130" s="62"/>
      <c r="M130" s="62"/>
    </row>
    <row r="131" spans="1:13" s="21" customFormat="1" ht="14.25" customHeight="1" x14ac:dyDescent="0.25">
      <c r="A131" s="64"/>
      <c r="B131" s="62"/>
      <c r="C131" s="62"/>
      <c r="D131" s="62"/>
      <c r="E131" s="63"/>
      <c r="F131" s="63"/>
      <c r="G131" s="62"/>
      <c r="H131" s="62"/>
      <c r="I131" s="62"/>
      <c r="J131" s="62"/>
      <c r="K131" s="62"/>
      <c r="L131" s="62"/>
      <c r="M131" s="62"/>
    </row>
    <row r="132" spans="1:13" s="23" customFormat="1" ht="14.25" customHeight="1" x14ac:dyDescent="0.25">
      <c r="A132" s="64"/>
      <c r="B132" s="62"/>
      <c r="C132" s="62"/>
      <c r="D132" s="62"/>
      <c r="E132" s="63"/>
      <c r="F132" s="63"/>
      <c r="G132" s="62"/>
      <c r="H132" s="62"/>
      <c r="I132" s="62"/>
      <c r="J132" s="62"/>
      <c r="K132" s="62"/>
      <c r="L132" s="62"/>
      <c r="M132" s="62"/>
    </row>
    <row r="133" spans="1:13" s="21" customFormat="1" ht="14.25" customHeight="1" x14ac:dyDescent="0.25">
      <c r="A133" s="64"/>
      <c r="B133" s="62"/>
      <c r="C133" s="62"/>
      <c r="D133" s="62"/>
      <c r="E133" s="63"/>
      <c r="F133" s="63"/>
      <c r="G133" s="62"/>
      <c r="H133" s="62"/>
      <c r="I133" s="62"/>
      <c r="J133" s="62"/>
      <c r="K133" s="62"/>
      <c r="L133" s="62"/>
      <c r="M133" s="62"/>
    </row>
    <row r="134" spans="1:13" s="21" customFormat="1" ht="14.25" customHeight="1" x14ac:dyDescent="0.25">
      <c r="A134" s="64"/>
      <c r="B134" s="62"/>
      <c r="C134" s="62"/>
      <c r="D134" s="62"/>
      <c r="E134" s="63"/>
      <c r="F134" s="63"/>
      <c r="G134" s="62"/>
      <c r="H134" s="62"/>
      <c r="I134" s="62"/>
      <c r="J134" s="62"/>
      <c r="K134" s="62"/>
      <c r="L134" s="62"/>
      <c r="M134" s="62"/>
    </row>
    <row r="135" spans="1:13" s="21" customFormat="1" ht="14.25" customHeight="1" x14ac:dyDescent="0.25">
      <c r="A135" s="64"/>
      <c r="B135" s="62"/>
      <c r="C135" s="62"/>
      <c r="D135" s="62"/>
      <c r="E135" s="63"/>
      <c r="F135" s="63"/>
      <c r="G135" s="62"/>
      <c r="H135" s="62"/>
      <c r="I135" s="62"/>
      <c r="J135" s="62"/>
      <c r="K135" s="62"/>
      <c r="L135" s="62"/>
      <c r="M135" s="62"/>
    </row>
    <row r="136" spans="1:13" s="21" customFormat="1" ht="14.25" customHeight="1" x14ac:dyDescent="0.25">
      <c r="A136" s="64"/>
      <c r="B136" s="62"/>
      <c r="C136" s="62"/>
      <c r="D136" s="62"/>
      <c r="E136" s="63"/>
      <c r="F136" s="63"/>
      <c r="G136" s="62"/>
      <c r="H136" s="62"/>
      <c r="I136" s="62"/>
      <c r="J136" s="62"/>
      <c r="K136" s="62"/>
      <c r="L136" s="62"/>
      <c r="M136" s="62"/>
    </row>
    <row r="137" spans="1:13" s="21" customFormat="1" ht="14.25" customHeight="1" x14ac:dyDescent="0.25">
      <c r="A137" s="64"/>
      <c r="B137" s="62"/>
      <c r="C137" s="62"/>
      <c r="D137" s="62"/>
      <c r="E137" s="63"/>
      <c r="F137" s="63"/>
      <c r="G137" s="62"/>
      <c r="H137" s="62"/>
      <c r="I137" s="62"/>
      <c r="J137" s="62"/>
      <c r="K137" s="62"/>
      <c r="L137" s="62"/>
      <c r="M137" s="62"/>
    </row>
    <row r="138" spans="1:13" s="21" customFormat="1" ht="14.25" customHeight="1" x14ac:dyDescent="0.25">
      <c r="A138" s="64"/>
      <c r="B138" s="62"/>
      <c r="C138" s="62"/>
      <c r="D138" s="62"/>
      <c r="E138" s="63"/>
      <c r="F138" s="63"/>
      <c r="G138" s="62"/>
      <c r="H138" s="62"/>
      <c r="I138" s="62"/>
      <c r="J138" s="62"/>
      <c r="K138" s="62"/>
      <c r="L138" s="62"/>
      <c r="M138" s="62"/>
    </row>
    <row r="139" spans="1:13" s="21" customFormat="1" ht="14.25" customHeight="1" x14ac:dyDescent="0.25">
      <c r="A139" s="64"/>
      <c r="B139" s="62"/>
      <c r="C139" s="62"/>
      <c r="D139" s="62"/>
      <c r="E139" s="63"/>
      <c r="F139" s="63"/>
      <c r="G139" s="62"/>
      <c r="H139" s="62"/>
      <c r="I139" s="62"/>
      <c r="J139" s="62"/>
      <c r="K139" s="62"/>
      <c r="L139" s="62"/>
      <c r="M139" s="62"/>
    </row>
    <row r="140" spans="1:13" s="21" customFormat="1" ht="14.25" customHeight="1" x14ac:dyDescent="0.25">
      <c r="A140" s="64"/>
      <c r="B140" s="62"/>
      <c r="C140" s="62"/>
      <c r="D140" s="62"/>
      <c r="E140" s="63"/>
      <c r="F140" s="63"/>
      <c r="G140" s="62"/>
      <c r="H140" s="62"/>
      <c r="I140" s="62"/>
      <c r="J140" s="62"/>
      <c r="K140" s="62"/>
      <c r="L140" s="62"/>
      <c r="M140" s="62"/>
    </row>
    <row r="141" spans="1:13" s="21" customFormat="1" ht="14.25" customHeight="1" x14ac:dyDescent="0.25">
      <c r="A141" s="64"/>
      <c r="B141" s="62"/>
      <c r="C141" s="62"/>
      <c r="D141" s="62"/>
      <c r="E141" s="63"/>
      <c r="F141" s="63"/>
      <c r="G141" s="62"/>
      <c r="H141" s="62"/>
      <c r="I141" s="62"/>
      <c r="J141" s="62"/>
      <c r="K141" s="62"/>
      <c r="L141" s="62"/>
      <c r="M141" s="62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1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x14ac:dyDescent="0.25">
      <c r="A150" s="65"/>
      <c r="B150" s="65"/>
      <c r="C150" s="65"/>
      <c r="D150" s="65"/>
      <c r="E150" s="66"/>
      <c r="F150" s="66"/>
      <c r="G150" s="65"/>
      <c r="H150" s="65"/>
      <c r="I150" s="65"/>
      <c r="J150" s="65"/>
      <c r="K150" s="65"/>
      <c r="L150" s="65"/>
      <c r="M150" s="65"/>
    </row>
    <row r="151" spans="1:13" x14ac:dyDescent="0.25">
      <c r="A151" s="65"/>
      <c r="B151" s="65"/>
      <c r="C151" s="65"/>
      <c r="D151" s="65"/>
      <c r="E151" s="66"/>
      <c r="F151" s="66"/>
      <c r="G151" s="65"/>
      <c r="H151" s="65"/>
      <c r="I151" s="65"/>
      <c r="J151" s="65"/>
      <c r="K151" s="65"/>
      <c r="L151" s="65"/>
      <c r="M151" s="65"/>
    </row>
  </sheetData>
  <mergeCells count="65">
    <mergeCell ref="H123:L123"/>
    <mergeCell ref="D122:J122"/>
    <mergeCell ref="A117:M117"/>
    <mergeCell ref="A118:M118"/>
    <mergeCell ref="A119:M119"/>
    <mergeCell ref="A120:M120"/>
    <mergeCell ref="A27:A28"/>
    <mergeCell ref="G27:G28"/>
    <mergeCell ref="E4:F4"/>
    <mergeCell ref="D81:D82"/>
    <mergeCell ref="B81:C81"/>
    <mergeCell ref="A81:A82"/>
    <mergeCell ref="D27:D28"/>
    <mergeCell ref="D80:K80"/>
    <mergeCell ref="E81:F81"/>
    <mergeCell ref="E27:F27"/>
    <mergeCell ref="H27:H28"/>
    <mergeCell ref="D59:K59"/>
    <mergeCell ref="H81:H82"/>
    <mergeCell ref="G81:G82"/>
    <mergeCell ref="I27:J27"/>
    <mergeCell ref="K27:L27"/>
    <mergeCell ref="K81:L81"/>
    <mergeCell ref="I81:J81"/>
    <mergeCell ref="D26:K26"/>
    <mergeCell ref="F6:G6"/>
    <mergeCell ref="F7:G7"/>
    <mergeCell ref="F8:G8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A112:M113"/>
    <mergeCell ref="A114:M115"/>
    <mergeCell ref="A116:M116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81:M82"/>
    <mergeCell ref="D110:F110"/>
    <mergeCell ref="D109:F109"/>
    <mergeCell ref="D108:F108"/>
    <mergeCell ref="D107:F107"/>
    <mergeCell ref="D106:F106"/>
  </mergeCells>
  <conditionalFormatting sqref="B29:M79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9">
    <cfRule type="expression" dxfId="1" priority="10">
      <formula>AND($K29&gt;0,$K29=$L29,$G29="TOQUE PITO")</formula>
    </cfRule>
  </conditionalFormatting>
  <conditionalFormatting sqref="H29:H110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paperSize="281" scale="72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2026-08-31T21:26:22Z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